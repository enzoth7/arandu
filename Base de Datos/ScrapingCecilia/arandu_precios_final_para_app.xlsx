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2ce589623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d7a9a0bc0dfc4634"/>
    <x:sheet xmlns:r="http://schemas.openxmlformats.org/officeDocument/2006/relationships" name="Para_importar" sheetId="2" r:id="R8d27e796dd7245e2"/>
    <x:sheet xmlns:r="http://schemas.openxmlformats.org/officeDocument/2006/relationships" name="Evidencia_26" sheetId="3" r:id="Recac6b7bd4d54a2c"/>
    <x:sheet xmlns:r="http://schemas.openxmlformats.org/officeDocument/2006/relationships" name="Pendientes_5" sheetId="4" r:id="R552e28cb5b2547ac"/>
    <x:sheet xmlns:r="http://schemas.openxmlformats.org/officeDocument/2006/relationships" name="Parametros" sheetId="5" r:id="R38ecfc0c8806400d"/>
    <x:sheet xmlns:r="http://schemas.openxmlformats.org/officeDocument/2006/relationships" name="Metodologia" sheetId="6" r:id="Rf486a8fddd424f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#,##0"/>
    <x:numFmt numFmtId="202" formatCode="#,##0.0000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9"/>
      <x:color rgb="FFFFFFFF"/>
      <x:name val="Carlito"/>
    </x:font>
    <x:font>
      <x:sz val="9"/>
      <x:color rgb="FF0F172A"/>
      <x:name val="Carlito"/>
    </x:font>
    <x:font>
      <x:i/>
      <x:sz val="10"/>
      <x:color rgb="FF475569"/>
      <x:name val="Carlito"/>
    </x:font>
    <x:font>
      <x:b/>
      <x:sz val="10"/>
      <x:color rgb="FF153F3B"/>
      <x:name val="Carlito"/>
    </x:font>
    <x:font>
      <x:b/>
      <x:sz val="14"/>
      <x:color rgb="FF153F3B"/>
      <x:name val="Carlito"/>
    </x:font>
    <x:font>
      <x:sz val="9"/>
      <x:color rgb="FF475569"/>
      <x:name val="Carlito"/>
    </x:font>
    <x:font>
      <x:b/>
      <x:sz val="10"/>
      <x:color rgb="FF1D4ED8"/>
      <x:name val="Carlito"/>
    </x:font>
    <x:font>
      <x:b/>
      <x:sz val="10"/>
      <x:color rgb="FF9A3412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53F3B"/>
      </x:patternFill>
    </x:fill>
    <x:fill>
      <x:patternFill patternType="solid">
        <x:fgColor rgb="FF0F766E"/>
      </x:patternFill>
    </x:fill>
    <x:fill>
      <x:patternFill patternType="solid">
        <x:fgColor rgb="FFFFF7ED"/>
      </x:patternFill>
    </x:fill>
    <x:fill>
      <x:patternFill patternType="solid">
        <x:fgColor rgb="FFE2E8F0"/>
      </x:patternFill>
    </x:fill>
    <x:fill>
      <x:patternFill patternType="solid">
        <x:fgColor rgb="FFF1F5F9"/>
      </x:patternFill>
    </x:fill>
    <x:fill>
      <x:patternFill patternType="solid">
        <x:fgColor rgb="FFCCFBF1"/>
      </x:patternFill>
    </x:fill>
    <x:fill>
      <x:patternFill patternType="solid">
        <x:fgColor rgb="FFEFF6FF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" fillId="4" borderId="0" xfId="0" applyNumberFormat="1" applyFont="1" applyFill="1" applyBorder="1" applyAlignment="1">
      <x:alignment vertical="top" wrapText="1"/>
    </x:xf>
    <x:xf numFmtId="201" fontId="3" fillId="4" borderId="1" xfId="0" applyNumberFormat="1" applyFont="1" applyFill="1" applyBorder="1" applyAlignment="1">
      <x:alignment vertical="top" wrapText="1"/>
    </x:xf>
    <x:xf numFmtId="202" fontId="3" fillId="4" borderId="0" xfId="0" applyNumberFormat="1" applyFont="1" applyFill="1" applyBorder="1" applyAlignment="1">
      <x:alignment vertical="top" wrapText="1"/>
    </x:xf>
    <x:xf numFmtId="202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center" wrapText="1"/>
    </x:xf>
    <x:xf numFmtId="201" fontId="6" fillId="7" borderId="0" xfId="0" applyNumberFormat="1" applyFont="1" applyFill="1" applyBorder="1" applyAlignment="1">
      <x:alignment horizontal="center" vertical="center" wrapText="1"/>
    </x:xf>
    <x:xf numFmtId="201" fontId="6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ECFDF5"/>
        </x:patternFill>
      </x:fill>
    </x:dxf>
    <x:dxf>
      <x:font>
        <x:b/>
        <x:color rgb="FF991B1B"/>
      </x:font>
      <x:fill>
        <x:patternFill patternType="solid">
          <x:bgColor rgb="FFFEF2F2"/>
        </x:patternFill>
      </x:fill>
    </x:dxf>
    <x:dxf>
      <x:font>
        <x:b/>
        <x:color rgb="FF9A3412"/>
      </x:font>
      <x:fill>
        <x:patternFill patternType="solid">
          <x:bgColor rgb="FFFFF7ED"/>
        </x:patternFill>
      </x:fill>
    </x:dxf>
    <x:dxf>
      <x:font>
        <x:color rgb="FF475569"/>
      </x:font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00399377d848f6" /><Relationship Type="http://schemas.openxmlformats.org/officeDocument/2006/relationships/theme" Target="/xl/theme/theme1.xml" Id="R6e5c39ecd1494a64" /><Relationship Type="http://schemas.microsoft.com/office/2022/11/relationships/FeaturePropertyBag" Target="/xl/featurePropertyBag/featurePropertyBag.xml" Id="R73d14a196c53479a" /><Relationship Type="http://schemas.openxmlformats.org/officeDocument/2006/relationships/sharedStrings" Target="/xl/sharedStrings.xml" Id="R4ad903d9c7704487" /><Relationship Type="http://schemas.openxmlformats.org/officeDocument/2006/relationships/worksheet" Target="/xl/worksheets/sheet1.xml" Id="Rd7a9a0bc0dfc4634" /><Relationship Type="http://schemas.openxmlformats.org/officeDocument/2006/relationships/worksheet" Target="/xl/worksheets/sheet2.xml" Id="R8d27e796dd7245e2" /><Relationship Type="http://schemas.openxmlformats.org/officeDocument/2006/relationships/worksheet" Target="/xl/worksheets/sheet3.xml" Id="Recac6b7bd4d54a2c" /><Relationship Type="http://schemas.openxmlformats.org/officeDocument/2006/relationships/worksheet" Target="/xl/worksheets/sheet4.xml" Id="R552e28cb5b2547ac" /><Relationship Type="http://schemas.openxmlformats.org/officeDocument/2006/relationships/worksheet" Target="/xl/worksheets/sheet5.xml" Id="R38ecfc0c8806400d" /><Relationship Type="http://schemas.openxmlformats.org/officeDocument/2006/relationships/worksheet" Target="/xl/worksheets/sheet6.xml" Id="Rf486a8fddd424f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34509d4bb940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Cobertura de precios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'Resumen'!$E$5:$E$7</c:f>
              <c:strCache>
                <c:ptCount val="0"/>
              </c:strCache>
            </c:strRef>
          </c:cat>
          <c:val>
            <c:numRef>
              <c:f>'Resumen'!$F$5:$F$7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34509d4bb9401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icesReadyForAppTable" displayName="PricesReadyForAppTable" ref="A1:AE22" headerRowCount="1" totalsRowCount="0" totalsRowShown="0">
  <x:tableColumns count="31">
    <x:tableColumn id="1" name="arandu_id"/>
    <x:tableColumn id="2" name="facility_name"/>
    <x:tableColumn id="3" name="department"/>
    <x:tableColumn id="4" name="locality"/>
    <x:tableColumn id="5" name="address"/>
    <x:tableColumn id="6" name="price_status"/>
    <x:tableColumn id="7" name="price_status_label"/>
    <x:tableColumn id="8" name="price_kind"/>
    <x:tableColumn id="9" name="modalities"/>
    <x:tableColumn id="10" name="original_currency"/>
    <x:tableColumn id="11" name="original_price_min"/>
    <x:tableColumn id="12" name="original_price_max"/>
    <x:tableColumn id="13" name="exchange_rate_to_uyu"/>
    <x:tableColumn id="14" name="conversion_date"/>
    <x:tableColumn id="15" name="normalization_method"/>
    <x:tableColumn id="16" name="normalized_price_min_uyu"/>
    <x:tableColumn id="17" name="normalized_price_max_uyu"/>
    <x:tableColumn id="18" name="display_price_uyu"/>
    <x:tableColumn id="19" name="source_date_text"/>
    <x:tableColumn id="20" name="source_year_latest"/>
    <x:tableColumn id="21" name="source_label"/>
    <x:tableColumn id="22" name="source_url"/>
    <x:tableColumn id="23" name="price_confidence"/>
    <x:tableColumn id="24" name="price_confidence_label"/>
    <x:tableColumn id="25" name="match_confidence"/>
    <x:tableColumn id="26" name="include_in_main_price_filter"/>
    <x:tableColumn id="27" name="display_mode"/>
    <x:tableColumn id="28" name="review_status"/>
    <x:tableColumn id="29" name="record_ids"/>
    <x:tableColumn id="30" name="notes"/>
    <x:tableColumn id="31" name="warn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Evidence26Table" displayName="PriceEvidence26Table" ref="A1:AB27" headerRowCount="1" totalsRowCount="0" totalsRowShown="0">
  <x:tableColumns count="28">
    <x:tableColumn id="1" name="record_id"/>
    <x:tableColumn id="2" name="arandu_id"/>
    <x:tableColumn id="3" name="facility_name"/>
    <x:tableColumn id="4" name="department"/>
    <x:tableColumn id="5" name="locality"/>
    <x:tableColumn id="6" name="address"/>
    <x:tableColumn id="7" name="matched_to_arandu"/>
    <x:tableColumn id="8" name="evidence_type"/>
    <x:tableColumn id="9" name="evidence_category"/>
    <x:tableColumn id="10" name="modality"/>
    <x:tableColumn id="11" name="original_currency"/>
    <x:tableColumn id="12" name="original_price_min"/>
    <x:tableColumn id="13" name="original_price_max"/>
    <x:tableColumn id="14" name="exchange_rate_to_uyu"/>
    <x:tableColumn id="15" name="normalized_price_min_uyu"/>
    <x:tableColumn id="16" name="normalized_price_max_uyu"/>
    <x:tableColumn id="17" name="source_date_text"/>
    <x:tableColumn id="18" name="source_year"/>
    <x:tableColumn id="19" name="source_label"/>
    <x:tableColumn id="20" name="source_url"/>
    <x:tableColumn id="21" name="raw_text"/>
    <x:tableColumn id="22" name="includes"/>
    <x:tableColumn id="23" name="temporal_status"/>
    <x:tableColumn id="24" name="price_confidence"/>
    <x:tableColumn id="25" name="match_confidence"/>
    <x:tableColumn id="26" name="publish_recommendation"/>
    <x:tableColumn id="27" name="notes"/>
    <x:tableColumn id="28" name="review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matchedPriceLeads5Table" displayName="UnmatchedPriceLeads5Table" ref="A1:AB6" headerRowCount="1" totalsRowCount="0" totalsRowShown="0">
  <x:tableColumns count="28">
    <x:tableColumn id="1" name="record_id"/>
    <x:tableColumn id="2" name="arandu_id"/>
    <x:tableColumn id="3" name="facility_name"/>
    <x:tableColumn id="4" name="department"/>
    <x:tableColumn id="5" name="locality"/>
    <x:tableColumn id="6" name="address"/>
    <x:tableColumn id="7" name="matched_to_arandu"/>
    <x:tableColumn id="8" name="evidence_type"/>
    <x:tableColumn id="9" name="evidence_category"/>
    <x:tableColumn id="10" name="modality"/>
    <x:tableColumn id="11" name="original_currency"/>
    <x:tableColumn id="12" name="original_price_min"/>
    <x:tableColumn id="13" name="original_price_max"/>
    <x:tableColumn id="14" name="exchange_rate_to_uyu"/>
    <x:tableColumn id="15" name="normalized_price_min_uyu"/>
    <x:tableColumn id="16" name="normalized_price_max_uyu"/>
    <x:tableColumn id="17" name="source_date_text"/>
    <x:tableColumn id="18" name="source_year"/>
    <x:tableColumn id="19" name="source_label"/>
    <x:tableColumn id="20" name="source_url"/>
    <x:tableColumn id="21" name="raw_text"/>
    <x:tableColumn id="22" name="includes"/>
    <x:tableColumn id="23" name="temporal_status"/>
    <x:tableColumn id="24" name="price_confidence"/>
    <x:tableColumn id="25" name="match_confidence"/>
    <x:tableColumn id="26" name="publish_recommendation"/>
    <x:tableColumn id="27" name="notes"/>
    <x:tableColumn id="28" name="review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4d4b48d69f548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b2ca9679774b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31dc3b48a649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7b0dcbac604dbc" /></Relationships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5" hidden="0" customWidth="1"/>
    <x:col min="3" max="3" width="50" hidden="0" customWidth="1"/>
    <x:col min="4" max="4" width="4" hidden="0" customWidth="1"/>
    <x:col min="5" max="5" width="30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6" customHeight="1">
      <x:c r="A1" s="4" t="str">
        <x:v>Arandú — base final de precios para la app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9" t="str">
        <x:v>Solo precios y tarifas · Promociones excluidas · Sin contacto directo · Sin cambios en GitHub, Vercel o Supabase.</x:v>
      </x:c>
      <x:c r="B2" s="49"/>
      <x:c r="C2" s="49"/>
      <x:c r="D2" s="49"/>
      <x:c r="E2" s="49"/>
      <x:c r="F2" s="49"/>
      <x:c r="G2" s="49"/>
      <x:c r="H2" s="49"/>
    </x:row>
    <x:row r="4">
      <x:c r="A4" s="12" t="str">
        <x:v>Indicador</x:v>
      </x:c>
      <x:c r="B4" s="12" t="str">
        <x:v>Cantidad</x:v>
      </x:c>
      <x:c r="C4" s="12" t="str">
        <x:v>Uso recomendado</x:v>
      </x:c>
      <x:c r="E4" s="12" t="str">
        <x:v>Cobertura</x:v>
      </x:c>
      <x:c r="F4" s="12" t="str">
        <x:v>Cantidad</x:v>
      </x:c>
    </x:row>
    <x:row r="5" ht="40" customHeight="1">
      <x:c r="A5" s="56" t="str">
        <x:v>Residenciales con alguna tarifa pública</x:v>
      </x:c>
      <x:c r="B5" s="72" t="n">
        <x:f>COUNTA(Para_importar!A2:A22)</x:f>
        <x:v>21</x:v>
      </x:c>
      <x:c r="C5" s="69" t="str">
        <x:v>Total listo para revisión.</x:v>
      </x:c>
      <x:c r="E5" s="20" t="str">
        <x:v>Actual/visible</x:v>
      </x:c>
      <x:c r="F5" s="20" t="n">
        <x:f>B6</x:f>
        <x:v>10</x:v>
      </x:c>
    </x:row>
    <x:row r="6" ht="40" customHeight="1">
      <x:c r="A6" s="56" t="str">
        <x:v>Con tarifa actual, reciente o todavía visible</x:v>
      </x:c>
      <x:c r="B6" s="72" t="n">
        <x:f>COUNTIF(Para_importar!F2:F22,"current_dated")+COUNTIF(Para_importar!F2:F22,"current_undated")</x:f>
        <x:v>10</x:v>
      </x:c>
      <x:c r="C6" s="69" t="str">
        <x:v>Pueden alimentar el filtro tras aprobación.</x:v>
      </x:c>
      <x:c r="E6" s="20" t="str">
        <x:v>Solo histórica</x:v>
      </x:c>
      <x:c r="F6" s="20" t="n">
        <x:f>B7</x:f>
        <x:v>11</x:v>
      </x:c>
    </x:row>
    <x:row r="7" ht="40" customHeight="1">
      <x:c r="A7" s="56" t="str">
        <x:v>Con tarifa únicamente histórica</x:v>
      </x:c>
      <x:c r="B7" s="72" t="n">
        <x:f>COUNTIF(Para_importar!F2:F22,"historical")</x:f>
        <x:v>11</x:v>
      </x:c>
      <x:c r="C7" s="69" t="str">
        <x:v>Mostrar solo como referencia histórica.</x:v>
      </x:c>
      <x:c r="E7" s="20" t="str">
        <x:v>Pendiente de conciliación</x:v>
      </x:c>
      <x:c r="F7" s="20" t="n">
        <x:f>B9</x:f>
        <x:v>5</x:v>
      </x:c>
    </x:row>
    <x:row r="8" ht="40" customHeight="1">
      <x:c r="A8" s="56" t="str">
        <x:v>Registros de precios conciliados</x:v>
      </x:c>
      <x:c r="B8" s="72" t="n">
        <x:f>COUNTA(Evidencia_26!A2:A27)</x:f>
        <x:v>26</x:v>
      </x:c>
      <x:c r="C8" s="69" t="str">
        <x:v>Incluye modalidades y años distintos.</x:v>
      </x:c>
    </x:row>
    <x:row r="9" ht="40" customHeight="1">
      <x:c r="A9" s="56" t="str">
        <x:v>Precios pendientes de conciliación</x:v>
      </x:c>
      <x:c r="B9" s="72" t="n">
        <x:f>COUNTA(Pendientes_5!A2:A6)</x:f>
        <x:v>5</x:v>
      </x:c>
      <x:c r="C9" s="69" t="str">
        <x:v>No importar a fichas concretas todavía.</x:v>
      </x:c>
    </x:row>
    <x:row r="10" ht="40" customHeight="1">
      <x:c r="A10" s="56" t="str">
        <x:v>Promociones incluidas</x:v>
      </x:c>
      <x:c r="B10" s="72" t="n">
        <x:v>0</x:v>
      </x:c>
      <x:c r="C10" s="69" t="str">
        <x:v>Excluidas por decisión expresa.</x:v>
      </x:c>
    </x:row>
    <x:row r="12">
      <x:c r="A12" s="77" t="str">
        <x:v>Criterio para incorporar
Las 10 filas actuales o visibles pueden alimentar el filtro principal después de revisión. Las 11 históricas quedan con include_in_main_price_filter = false.</x:v>
      </x:c>
      <x:c r="B12" s="77"/>
      <x:c r="C12" s="77"/>
    </x:row>
    <x:row r="13">
      <x:c r="A13" s="77"/>
      <x:c r="B13" s="77"/>
      <x:c r="C13" s="77"/>
    </x:row>
    <x:row r="14">
      <x:c r="A14" s="77"/>
      <x:c r="B14" s="77"/>
      <x:c r="C14" s="77"/>
    </x:row>
    <x:row r="15">
      <x:c r="A15" s="77"/>
      <x:c r="B15" s="77"/>
      <x:c r="C15" s="77"/>
    </x:row>
    <x:row r="16">
      <x:c r="A16" s="77"/>
      <x:c r="B16" s="77"/>
      <x:c r="C16" s="77"/>
    </x:row>
    <x:row r="18">
      <x:c r="A18" s="85" t="str">
        <x:v>Normalización monetaria
La moneda de visualización es UYU. La Maison se convirtió con USD 1 = UYU 40.214 (BCU, 2026-07-28). Los valores históricos no fueron actualizados por IPC.</x:v>
      </x:c>
      <x:c r="B18" s="85"/>
      <x:c r="C18" s="85"/>
      <x:c r="D18" s="85"/>
      <x:c r="E18" s="85"/>
      <x:c r="F18" s="85"/>
      <x:c r="G18" s="85"/>
      <x:c r="H18" s="85"/>
    </x:row>
    <x:row r="19">
      <x:c r="A19" s="85"/>
      <x:c r="B19" s="85"/>
      <x:c r="C19" s="85"/>
      <x:c r="D19" s="85"/>
      <x:c r="E19" s="85"/>
      <x:c r="F19" s="85"/>
      <x:c r="G19" s="85"/>
      <x:c r="H19" s="85"/>
    </x:row>
    <x:row r="20">
      <x:c r="A20" s="85"/>
      <x:c r="B20" s="85"/>
      <x:c r="C20" s="85"/>
      <x:c r="D20" s="85"/>
      <x:c r="E20" s="85"/>
      <x:c r="F20" s="85"/>
      <x:c r="G20" s="85"/>
      <x:c r="H20" s="85"/>
    </x:row>
  </x:sheetData>
  <x:mergeCells>
    <x:mergeCell ref="A1:H1"/>
    <x:mergeCell ref="A2:H2"/>
    <x:mergeCell ref="A12:C16"/>
    <x:mergeCell ref="A18:H20"/>
  </x:mergeCells>
  <x:pageMargins left="0.7" right="0.7" top="0.75" bottom="0.75" header="0.3" footer="0.3"/>
  <x:drawing xmlns:r="http://schemas.openxmlformats.org/officeDocument/2006/relationships" r:id="Rc4d4b48d69f548f5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1" hidden="0" customWidth="1"/>
    <x:col min="3" max="3" width="17" hidden="0" customWidth="1"/>
    <x:col min="4" max="4" width="18" hidden="0" customWidth="1"/>
    <x:col min="5" max="5" width="35" hidden="0" customWidth="1"/>
    <x:col min="6" max="6" width="19" hidden="0" customWidth="1"/>
    <x:col min="7" max="7" width="26" hidden="0" customWidth="1"/>
    <x:col min="8" max="8" width="22" hidden="0" customWidth="1"/>
    <x:col min="9" max="9" width="38" hidden="0" customWidth="1"/>
    <x:col min="10" max="10" width="17" hidden="0" customWidth="1"/>
    <x:col min="11" max="11" width="17" hidden="0" customWidth="1"/>
    <x:col min="12" max="12" width="17" hidden="0" customWidth="1"/>
    <x:col min="13" max="13" width="18" hidden="0" customWidth="1"/>
    <x:col min="14" max="14" width="17" hidden="0" customWidth="1"/>
    <x:col min="15" max="15" width="26" hidden="0" customWidth="1"/>
    <x:col min="16" max="16" width="20" hidden="0" customWidth="1"/>
    <x:col min="17" max="17" width="20" hidden="0" customWidth="1"/>
    <x:col min="18" max="18" width="24" hidden="0" customWidth="1"/>
    <x:col min="19" max="19" width="27" hidden="0" customWidth="1"/>
    <x:col min="20" max="20" width="16" hidden="0" customWidth="1"/>
    <x:col min="21" max="21" width="28" hidden="0" customWidth="1"/>
    <x:col min="22" max="22" width="68" hidden="0" customWidth="1"/>
    <x:col min="23" max="23" width="19" hidden="0" customWidth="1"/>
    <x:col min="24" max="24" width="20" hidden="0" customWidth="1"/>
    <x:col min="25" max="25" width="18" hidden="0" customWidth="1"/>
    <x:col min="26" max="26" width="18" hidden="0" customWidth="1"/>
    <x:col min="27" max="27" width="24" hidden="0" customWidth="1"/>
    <x:col min="28" max="28" width="18" hidden="0" customWidth="1"/>
    <x:col min="29" max="29" width="24" hidden="0" customWidth="1"/>
    <x:col min="30" max="30" width="48" hidden="0" customWidth="1"/>
    <x:col min="31" max="31" width="55" hidden="0" customWidth="1"/>
  </x:cols>
  <x:sheetData>
    <x:row r="1">
      <x:c r="A1" s="12" t="str">
        <x:v>arandu_id</x:v>
      </x:c>
      <x:c r="B1" s="12" t="str">
        <x:v>facility_name</x:v>
      </x:c>
      <x:c r="C1" s="12" t="str">
        <x:v>department</x:v>
      </x:c>
      <x:c r="D1" s="12" t="str">
        <x:v>locality</x:v>
      </x:c>
      <x:c r="E1" s="12" t="str">
        <x:v>address</x:v>
      </x:c>
      <x:c r="F1" s="12" t="str">
        <x:v>price_status</x:v>
      </x:c>
      <x:c r="G1" s="12" t="str">
        <x:v>price_status_label</x:v>
      </x:c>
      <x:c r="H1" s="12" t="str">
        <x:v>price_kind</x:v>
      </x:c>
      <x:c r="I1" s="12" t="str">
        <x:v>modalities</x:v>
      </x:c>
      <x:c r="J1" s="12" t="str">
        <x:v>original_currency</x:v>
      </x:c>
      <x:c r="K1" s="12" t="str">
        <x:v>original_price_min</x:v>
      </x:c>
      <x:c r="L1" s="12" t="str">
        <x:v>original_price_max</x:v>
      </x:c>
      <x:c r="M1" s="12" t="str">
        <x:v>exchange_rate_to_uyu</x:v>
      </x:c>
      <x:c r="N1" s="12" t="str">
        <x:v>conversion_date</x:v>
      </x:c>
      <x:c r="O1" s="12" t="str">
        <x:v>normalization_method</x:v>
      </x:c>
      <x:c r="P1" s="12" t="str">
        <x:v>normalized_price_min_uyu</x:v>
      </x:c>
      <x:c r="Q1" s="12" t="str">
        <x:v>normalized_price_max_uyu</x:v>
      </x:c>
      <x:c r="R1" s="12" t="str">
        <x:v>display_price_uyu</x:v>
      </x:c>
      <x:c r="S1" s="12" t="str">
        <x:v>source_date_text</x:v>
      </x:c>
      <x:c r="T1" s="12" t="str">
        <x:v>source_year_latest</x:v>
      </x:c>
      <x:c r="U1" s="12" t="str">
        <x:v>source_label</x:v>
      </x:c>
      <x:c r="V1" s="12" t="str">
        <x:v>source_url</x:v>
      </x:c>
      <x:c r="W1" s="12" t="str">
        <x:v>price_confidence</x:v>
      </x:c>
      <x:c r="X1" s="12" t="str">
        <x:v>price_confidence_label</x:v>
      </x:c>
      <x:c r="Y1" s="12" t="str">
        <x:v>match_confidence</x:v>
      </x:c>
      <x:c r="Z1" s="12" t="str">
        <x:v>include_in_main_price_filter</x:v>
      </x:c>
      <x:c r="AA1" s="12" t="str">
        <x:v>display_mode</x:v>
      </x:c>
      <x:c r="AB1" s="12" t="str">
        <x:v>review_status</x:v>
      </x:c>
      <x:c r="AC1" s="12" t="str">
        <x:v>record_ids</x:v>
      </x:c>
      <x:c r="AD1" s="12" t="str">
        <x:v>notes</x:v>
      </x:c>
      <x:c r="AE1" s="12" t="str">
        <x:v>warning</x:v>
      </x:c>
    </x:row>
    <x:row r="2" ht="58" customHeight="1">
      <x:c r="A2" s="20" t="str">
        <x:v>FAC-LEGACY-ELP-0006-6E3F1CFA89335BAF</x:v>
      </x:c>
      <x:c r="B2" s="20" t="str">
        <x:v>Altos del Pinar</x:v>
      </x:c>
      <x:c r="C2" s="20" t="str">
        <x:v>Canelones</x:v>
      </x:c>
      <x:c r="D2" s="20" t="str">
        <x:v>El Pinar</x:v>
      </x:c>
      <x:c r="E2" s="20" t="str">
        <x:v>Rambla Costanera M244 S2</x:v>
      </x:c>
      <x:c r="F2" s="20" t="str">
        <x:v>historical</x:v>
      </x:c>
      <x:c r="G2" s="20" t="str">
        <x:v>Referencia histórica</x:v>
      </x:c>
      <x:c r="H2" s="20" t="str">
        <x:v>range_by_modality</x:v>
      </x:c>
      <x:c r="I2" s="20" t="str">
        <x:v>Habitación individual | Habitación compartida</x:v>
      </x:c>
      <x:c r="J2" s="20" t="str">
        <x:v>UYU</x:v>
      </x:c>
      <x:c r="K2" s="34" t="n">
        <x:v>35000</x:v>
      </x:c>
      <x:c r="L2" s="34" t="n">
        <x:v>80000</x:v>
      </x:c>
      <x:c r="M2" s="36" t="n">
        <x:v>1</x:v>
      </x:c>
      <x:c r="N2" s="20"/>
      <x:c r="O2" s="20" t="str">
        <x:v>original_uyu</x:v>
      </x:c>
      <x:c r="P2" s="34" t="n">
        <x:v>35000</x:v>
      </x:c>
      <x:c r="Q2" s="34" t="n">
        <x:v>80000</x:v>
      </x:c>
      <x:c r="R2" s="20" t="str">
        <x:v>$35.000–$80.000</x:v>
      </x:c>
      <x:c r="S2" s="20" t="str">
        <x:v>2012-05-15</x:v>
      </x:c>
      <x:c r="T2" s="20" t="n">
        <x:v>2012</x:v>
      </x:c>
      <x:c r="U2" s="20" t="str">
        <x:v>El País</x:v>
      </x:c>
      <x:c r="V2" s="20" t="str">
        <x:v>https://www.elpais.com.uy/informacion/residencias-vip-nuevas-tendencias-para-3%C2%AA-edad</x:v>
      </x:c>
      <x:c r="W2" s="20" t="str">
        <x:v>high</x:v>
      </x:c>
      <x:c r="X2" s="20" t="str">
        <x:v>alta</x:v>
      </x:c>
      <x:c r="Y2" s="20" t="str">
        <x:v>high</x:v>
      </x:c>
      <x:c r="Z2" s="30" t="b">
        <x:v>0</x:v>
      </x:c>
      <x:c r="AA2" s="20" t="str">
        <x:v>historical_reference</x:v>
      </x:c>
      <x:c r="AB2" s="20" t="str">
        <x:v>pending</x:v>
      </x:c>
      <x:c r="AC2" s="20" t="str">
        <x:v>BASE-020 | BASE-021</x:v>
      </x:c>
      <x:c r="AD2" s="20" t="str">
        <x:v>Referencia muy antigua.</x:v>
      </x:c>
      <x:c r="AE2" s="20" t="str">
        <x:v>Referencia histórica expresada en pesos uruguayos para facilitar la lectura. No es una tarifa vigente y no fue actualizada por IPC.</x:v>
      </x:c>
    </x:row>
    <x:row r="3" ht="58" customHeight="1">
      <x:c r="A3" s="20" t="str">
        <x:v>FAC-LEGACY-ELP-0048-2D20813D86F4F23D</x:v>
      </x:c>
      <x:c r="B3" s="20" t="str">
        <x:v>La Estancia Hotel Residencial</x:v>
      </x:c>
      <x:c r="C3" s="20" t="str">
        <x:v>Canelones</x:v>
      </x:c>
      <x:c r="D3" s="20" t="str">
        <x:v>Canelones</x:v>
      </x:c>
      <x:c r="E3" s="20" t="str">
        <x:v>María Stagnero de Munar esq. Camino Imperiale s/n</x:v>
      </x:c>
      <x:c r="F3" s="20" t="str">
        <x:v>current_dated</x:v>
      </x:c>
      <x:c r="G3" s="20" t="str">
        <x:v>Precio público fechado</x:v>
      </x:c>
      <x:c r="H3" s="20" t="str">
        <x:v>range_by_modality</x:v>
      </x:c>
      <x:c r="I3" s="20" t="str">
        <x:v>Habitación compartida | Habitación individual</x:v>
      </x:c>
      <x:c r="J3" s="20" t="str">
        <x:v>UYU</x:v>
      </x:c>
      <x:c r="K3" s="34" t="n">
        <x:v>85000</x:v>
      </x:c>
      <x:c r="L3" s="34" t="n">
        <x:v>135000</x:v>
      </x:c>
      <x:c r="M3" s="36" t="n">
        <x:v>1</x:v>
      </x:c>
      <x:c r="N3" s="20"/>
      <x:c r="O3" s="20" t="str">
        <x:v>original_uyu</x:v>
      </x:c>
      <x:c r="P3" s="34" t="n">
        <x:v>85000</x:v>
      </x:c>
      <x:c r="Q3" s="34" t="n">
        <x:v>135000</x:v>
      </x:c>
      <x:c r="R3" s="20" t="str">
        <x:v>$85.000–$135.000</x:v>
      </x:c>
      <x:c r="S3" s="20" t="str">
        <x:v>2026-05-03</x:v>
      </x:c>
      <x:c r="T3" s="20" t="n">
        <x:v>2026</x:v>
      </x:c>
      <x:c r="U3" s="20" t="str">
        <x:v>Somos Uruguay</x:v>
      </x:c>
      <x:c r="V3" s="20" t="str">
        <x:v>https://somosuruguay.com.uy/sociedad/la-estancia-hotel-residencial-una-propuesta-busca-transformar-forma-cuidar-adultos-mayores-n2843/amp</x:v>
      </x:c>
      <x:c r="W3" s="20" t="str">
        <x:v>high</x:v>
      </x:c>
      <x:c r="X3" s="20" t="str">
        <x:v>alta</x:v>
      </x:c>
      <x:c r="Y3" s="20" t="str">
        <x:v>high</x:v>
      </x:c>
      <x:c r="Z3" s="30" t="b">
        <x:v>1</x:v>
      </x:c>
      <x:c r="AA3" s="20" t="str">
        <x:v>public_price</x:v>
      </x:c>
      <x:c r="AB3" s="20" t="str">
        <x:v>pending</x:v>
      </x:c>
      <x:c r="AC3" s="20" t="str">
        <x:v>BASE-001 | BASE-002</x:v>
      </x:c>
      <x:c r="AD3" s="20" t="str">
        <x:v>Precio de partida; confirmar disponibilidad y condiciones. | Confirmar evaluación de ingreso y extras personales.</x:v>
      </x:c>
      <x:c r="AE3" s="20" t="str">
        <x:v>Precio público orientativo. Puede variar según habitación, autonomía, dependencia, servicios, insumos y disponibilidad. Confirmar con el establecimiento.</x:v>
      </x:c>
    </x:row>
    <x:row r="4" ht="58" customHeight="1">
      <x:c r="A4" s="20" t="str">
        <x:v>FAC-LEGACY-ELP-0092-659F60900D60E0E8</x:v>
      </x:c>
      <x:c r="B4" s="20" t="str">
        <x:v>Senescentis II</x:v>
      </x:c>
      <x:c r="C4" s="20" t="str">
        <x:v>Canelones</x:v>
      </x:c>
      <x:c r="D4" s="20" t="str">
        <x:v>El Pinar</x:v>
      </x:c>
      <x:c r="E4" s="20" t="str">
        <x:v>Av. Pérez Butler M257 S2</x:v>
      </x:c>
      <x:c r="F4" s="20" t="str">
        <x:v>current_undated</x:v>
      </x:c>
      <x:c r="G4" s="20" t="str">
        <x:v>Precio público sin fecha</x:v>
      </x:c>
      <x:c r="H4" s="20" t="str">
        <x:v>exact</x:v>
      </x:c>
      <x:c r="I4" s="20" t="str">
        <x:v>Modalidad no precisada</x:v>
      </x:c>
      <x:c r="J4" s="20" t="str">
        <x:v>UYU_INFERRED</x:v>
      </x:c>
      <x:c r="K4" s="34" t="n">
        <x:v>42500</x:v>
      </x:c>
      <x:c r="L4" s="34" t="n">
        <x:v>42500</x:v>
      </x:c>
      <x:c r="M4" s="36" t="n">
        <x:v>1</x:v>
      </x:c>
      <x:c r="N4" s="20"/>
      <x:c r="O4" s="20" t="str">
        <x:v>original_uyu_inferred</x:v>
      </x:c>
      <x:c r="P4" s="34" t="n">
        <x:v>42500</x:v>
      </x:c>
      <x:c r="Q4" s="34" t="n">
        <x:v>42500</x:v>
      </x:c>
      <x:c r="R4" s="20" t="str">
        <x:v>$42.500</x:v>
      </x:c>
      <x:c r="S4" s="20" t="str">
        <x:v>Sin fecha visible</x:v>
      </x:c>
      <x:c r="T4" s="20"/>
      <x:c r="U4" s="20" t="str">
        <x:v>Red de Residenciales</x:v>
      </x:c>
      <x:c r="V4" s="20" t="str">
        <x:v>https://www.redresidenciales.uy/residencial-hotel/canelones/ciudad-de-la-costa/senescentis-residencial/</x:v>
      </x:c>
      <x:c r="W4" s="20" t="str">
        <x:v>low</x:v>
      </x:c>
      <x:c r="X4" s="20" t="str">
        <x:v>baja</x:v>
      </x:c>
      <x:c r="Y4" s="20" t="str">
        <x:v>high</x:v>
      </x:c>
      <x:c r="Z4" s="30" t="b">
        <x:v>1</x:v>
      </x:c>
      <x:c r="AA4" s="20" t="str">
        <x:v>public_price_confirm</x:v>
      </x:c>
      <x:c r="AB4" s="20" t="str">
        <x:v>pending</x:v>
      </x:c>
      <x:c r="AC4" s="20" t="str">
        <x:v>BASE-010</x:v>
      </x:c>
      <x:c r="AD4" s="20" t="str">
        <x:v>La página omite símbolo y moneda; UYU se infiere por contexto.</x:v>
      </x:c>
      <x:c r="AE4" s="20" t="str">
        <x:v>Precio público sin fecha visible. Puede estar desactualizado; confirmar antes de usar.</x:v>
      </x:c>
    </x:row>
    <x:row r="5" ht="58" customHeight="1">
      <x:c r="A5" s="20" t="str">
        <x:v>FAC-LEGACY-ELP-0225-1E6FEE63E2AC3E6B</x:v>
      </x:c>
      <x:c r="B5" s="20" t="str">
        <x:v>La Candelaria</x:v>
      </x:c>
      <x:c r="C5" s="20" t="str">
        <x:v>Maldonado</x:v>
      </x:c>
      <x:c r="D5" s="20" t="str">
        <x:v>Punta del Este</x:v>
      </x:c>
      <x:c r="E5" s="20" t="str">
        <x:v>Martiniano Chiossi y Fort Wayne</x:v>
      </x:c>
      <x:c r="F5" s="20" t="str">
        <x:v>historical</x:v>
      </x:c>
      <x:c r="G5" s="20" t="str">
        <x:v>Referencia histórica</x:v>
      </x:c>
      <x:c r="H5" s="20" t="str">
        <x:v>range</x:v>
      </x:c>
      <x:c r="I5" s="20" t="str">
        <x:v>Según habitación compartida o individual</x:v>
      </x:c>
      <x:c r="J5" s="20" t="str">
        <x:v>UYU</x:v>
      </x:c>
      <x:c r="K5" s="34" t="n">
        <x:v>80000</x:v>
      </x:c>
      <x:c r="L5" s="34" t="n">
        <x:v>120000</x:v>
      </x:c>
      <x:c r="M5" s="36" t="n">
        <x:v>1</x:v>
      </x:c>
      <x:c r="N5" s="20"/>
      <x:c r="O5" s="20" t="str">
        <x:v>original_uyu</x:v>
      </x:c>
      <x:c r="P5" s="34" t="n">
        <x:v>80000</x:v>
      </x:c>
      <x:c r="Q5" s="34" t="n">
        <x:v>120000</x:v>
      </x:c>
      <x:c r="R5" s="20" t="str">
        <x:v>$80.000–$120.000</x:v>
      </x:c>
      <x:c r="S5" s="20" t="str">
        <x:v>2020-11-16</x:v>
      </x:c>
      <x:c r="T5" s="20" t="n">
        <x:v>2020</x:v>
      </x:c>
      <x:c r="U5" s="20" t="str">
        <x:v>InfoNegocios</x:v>
      </x:c>
      <x:c r="V5" s="20" t="str">
        <x:v>https://infonegocios.biz/nota-principal/en-la-mansa-se-agita-la-candelaria-un-residencial-para-potenciar-el-tiempo-de-familia</x:v>
      </x:c>
      <x:c r="W5" s="20" t="str">
        <x:v>high</x:v>
      </x:c>
      <x:c r="X5" s="20" t="str">
        <x:v>alta</x:v>
      </x:c>
      <x:c r="Y5" s="20" t="str">
        <x:v>high</x:v>
      </x:c>
      <x:c r="Z5" s="30" t="b">
        <x:v>0</x:v>
      </x:c>
      <x:c r="AA5" s="20" t="str">
        <x:v>historical_reference</x:v>
      </x:c>
      <x:c r="AB5" s="20" t="str">
        <x:v>pending</x:v>
      </x:c>
      <x:c r="AC5" s="20" t="str">
        <x:v>BASE-014</x:v>
      </x:c>
      <x:c r="AD5" s="20" t="str">
        <x:v>Referencia de 2020.</x:v>
      </x:c>
      <x:c r="AE5" s="20" t="str">
        <x:v>Referencia histórica expresada en pesos uruguayos para facilitar la lectura. No es una tarifa vigente y no fue actualizada por IPC.</x:v>
      </x:c>
    </x:row>
    <x:row r="6" ht="58" customHeight="1">
      <x:c r="A6" s="20" t="str">
        <x:v>FAC-LEGACY-MSP24-043-F296BAA525093376</x:v>
      </x:c>
      <x:c r="B6" s="20" t="str">
        <x:v>Aguas de Reposo</x:v>
      </x:c>
      <x:c r="C6" s="20" t="str">
        <x:v>Montevideo</x:v>
      </x:c>
      <x:c r="D6" s="20" t="str">
        <x:v>Montevideo</x:v>
      </x:c>
      <x:c r="E6" s="20" t="str">
        <x:v>Avenida Italia 6527</x:v>
      </x:c>
      <x:c r="F6" s="20" t="str">
        <x:v>current_undated</x:v>
      </x:c>
      <x:c r="G6" s="20" t="str">
        <x:v>Precio público sin fecha</x:v>
      </x:c>
      <x:c r="H6" s="20" t="str">
        <x:v>from</x:v>
      </x:c>
      <x:c r="I6" s="20" t="str">
        <x:v>Desde; modalidad no precisada</x:v>
      </x:c>
      <x:c r="J6" s="20" t="str">
        <x:v>UYU</x:v>
      </x:c>
      <x:c r="K6" s="34" t="n">
        <x:v>38000</x:v>
      </x:c>
      <x:c r="L6" s="34"/>
      <x:c r="M6" s="36" t="n">
        <x:v>1</x:v>
      </x:c>
      <x:c r="N6" s="20"/>
      <x:c r="O6" s="20" t="str">
        <x:v>original_uyu</x:v>
      </x:c>
      <x:c r="P6" s="34" t="n">
        <x:v>38000</x:v>
      </x:c>
      <x:c r="Q6" s="34"/>
      <x:c r="R6" s="20" t="str">
        <x:v>Desde $38.000</x:v>
      </x:c>
      <x:c r="S6" s="20" t="str">
        <x:v>Sin fecha visible</x:v>
      </x:c>
      <x:c r="T6" s="20"/>
      <x:c r="U6" s="20" t="str">
        <x:v>Red de Residenciales</x:v>
      </x:c>
      <x:c r="V6" s="20" t="str">
        <x:v>https://www.redresidenciales.uy/residencial_hotel/montevideo/carrasco/carrasco/residencial-aguas-de-reposo/</x:v>
      </x:c>
      <x:c r="W6" s="20" t="str">
        <x:v>medium</x:v>
      </x:c>
      <x:c r="X6" s="20" t="str">
        <x:v>media</x:v>
      </x:c>
      <x:c r="Y6" s="20" t="str">
        <x:v>high</x:v>
      </x:c>
      <x:c r="Z6" s="30" t="b">
        <x:v>1</x:v>
      </x:c>
      <x:c r="AA6" s="20" t="str">
        <x:v>public_price_confirm</x:v>
      </x:c>
      <x:c r="AB6" s="20" t="str">
        <x:v>pending</x:v>
      </x:c>
      <x:c r="AC6" s="20" t="str">
        <x:v>BASE-008</x:v>
      </x:c>
      <x:c r="AD6" s="20" t="str">
        <x:v>Muy por debajo de referencias sectoriales de 2025; probablemente antiguo.</x:v>
      </x:c>
      <x:c r="AE6" s="20" t="str">
        <x:v>Precio público sin fecha visible. Puede estar desactualizado; confirmar antes de usar.</x:v>
      </x:c>
    </x:row>
    <x:row r="7" ht="58" customHeight="1">
      <x:c r="A7" s="20" t="str">
        <x:v>FAC-LEGACY-MSP24-038-EF27E2634E365AAF</x:v>
      </x:c>
      <x:c r="B7" s="20" t="str">
        <x:v>Altos del Centro</x:v>
      </x:c>
      <x:c r="C7" s="20" t="str">
        <x:v>Montevideo</x:v>
      </x:c>
      <x:c r="D7" s="20" t="str">
        <x:v>Montevideo</x:v>
      </x:c>
      <x:c r="E7" s="20" t="str">
        <x:v>Yi 1363</x:v>
      </x:c>
      <x:c r="F7" s="20" t="str">
        <x:v>current_undated</x:v>
      </x:c>
      <x:c r="G7" s="20" t="str">
        <x:v>Precio público sin fecha</x:v>
      </x:c>
      <x:c r="H7" s="20" t="str">
        <x:v>from</x:v>
      </x:c>
      <x:c r="I7" s="20" t="str">
        <x:v>Desde; modalidad no precisada</x:v>
      </x:c>
      <x:c r="J7" s="20" t="str">
        <x:v>UYU</x:v>
      </x:c>
      <x:c r="K7" s="34" t="n">
        <x:v>50000</x:v>
      </x:c>
      <x:c r="L7" s="34"/>
      <x:c r="M7" s="36" t="n">
        <x:v>1</x:v>
      </x:c>
      <x:c r="N7" s="20"/>
      <x:c r="O7" s="20" t="str">
        <x:v>original_uyu</x:v>
      </x:c>
      <x:c r="P7" s="34" t="n">
        <x:v>50000</x:v>
      </x:c>
      <x:c r="Q7" s="34"/>
      <x:c r="R7" s="20" t="str">
        <x:v>Desde $50.000</x:v>
      </x:c>
      <x:c r="S7" s="20" t="str">
        <x:v>Sin fecha visible</x:v>
      </x:c>
      <x:c r="T7" s="20"/>
      <x:c r="U7" s="20" t="str">
        <x:v>Red de Residenciales</x:v>
      </x:c>
      <x:c r="V7" s="20" t="str">
        <x:v>https://www.redresidenciales.uy/residencial_hotel/residencial-en-centro/</x:v>
      </x:c>
      <x:c r="W7" s="20" t="str">
        <x:v>medium</x:v>
      </x:c>
      <x:c r="X7" s="20" t="str">
        <x:v>media</x:v>
      </x:c>
      <x:c r="Y7" s="20" t="str">
        <x:v>high</x:v>
      </x:c>
      <x:c r="Z7" s="30" t="b">
        <x:v>1</x:v>
      </x:c>
      <x:c r="AA7" s="20" t="str">
        <x:v>public_price_confirm</x:v>
      </x:c>
      <x:c r="AB7" s="20" t="str">
        <x:v>pending</x:v>
      </x:c>
      <x:c r="AC7" s="20" t="str">
        <x:v>BASE-006</x:v>
      </x:c>
      <x:c r="AD7" s="20" t="str">
        <x:v>El directorio no muestra fecha de actualización.</x:v>
      </x:c>
      <x:c r="AE7" s="20" t="str">
        <x:v>Precio público sin fecha visible. Puede estar desactualizado; confirmar antes de usar.</x:v>
      </x:c>
    </x:row>
    <x:row r="8" ht="58" customHeight="1">
      <x:c r="A8" s="20" t="str">
        <x:v>FAC-LEGACY-MSP24-061-31302148B63DA6AC</x:v>
      </x:c>
      <x:c r="B8" s="20" t="str">
        <x:v>Altos del Parque 1</x:v>
      </x:c>
      <x:c r="C8" s="20" t="str">
        <x:v>Montevideo</x:v>
      </x:c>
      <x:c r="D8" s="20" t="str">
        <x:v>Montevideo</x:v>
      </x:c>
      <x:c r="E8" s="20" t="str">
        <x:v>Américo Ricaldoni 1748</x:v>
      </x:c>
      <x:c r="F8" s="20" t="str">
        <x:v>current_dated</x:v>
      </x:c>
      <x:c r="G8" s="20" t="str">
        <x:v>Precio público fechado</x:v>
      </x:c>
      <x:c r="H8" s="20" t="str">
        <x:v>range</x:v>
      </x:c>
      <x:c r="I8" s="20" t="str">
        <x:v>Habitación individual</x:v>
      </x:c>
      <x:c r="J8" s="20" t="str">
        <x:v>UYU</x:v>
      </x:c>
      <x:c r="K8" s="34" t="n">
        <x:v>100000</x:v>
      </x:c>
      <x:c r="L8" s="34" t="n">
        <x:v>120000</x:v>
      </x:c>
      <x:c r="M8" s="36" t="n">
        <x:v>1</x:v>
      </x:c>
      <x:c r="N8" s="20"/>
      <x:c r="O8" s="20" t="str">
        <x:v>original_uyu</x:v>
      </x:c>
      <x:c r="P8" s="34" t="n">
        <x:v>100000</x:v>
      </x:c>
      <x:c r="Q8" s="34" t="n">
        <x:v>120000</x:v>
      </x:c>
      <x:c r="R8" s="20" t="str">
        <x:v>$100.000–$120.000</x:v>
      </x:c>
      <x:c r="S8" s="20" t="str">
        <x:v>2025-04-01</x:v>
      </x:c>
      <x:c r="T8" s="20" t="n">
        <x:v>2025</x:v>
      </x:c>
      <x:c r="U8" s="20" t="str">
        <x:v>Vitalence</x:v>
      </x:c>
      <x:c r="V8" s="20" t="str">
        <x:v>https://app.vitalencecare.com/VitalenceJavaEnvironment/servlet/com.vitalence.buscarcuartos</x:v>
      </x:c>
      <x:c r="W8" s="20" t="str">
        <x:v>high</x:v>
      </x:c>
      <x:c r="X8" s="20" t="str">
        <x:v>alta</x:v>
      </x:c>
      <x:c r="Y8" s="20" t="str">
        <x:v>medium</x:v>
      </x:c>
      <x:c r="Z8" s="30" t="b">
        <x:v>1</x:v>
      </x:c>
      <x:c r="AA8" s="20" t="str">
        <x:v>public_price</x:v>
      </x:c>
      <x:c r="AB8" s="20" t="str">
        <x:v>pending</x:v>
      </x:c>
      <x:c r="AC8" s="20" t="str">
        <x:v>BASE-004</x:v>
      </x:c>
      <x:c r="AD8" s="20" t="str">
        <x:v>La sucursal 1 se concilió por nombre y padrón.</x:v>
      </x:c>
      <x:c r="AE8" s="20" t="str">
        <x:v>Precio público orientativo. Puede variar según habitación, autonomía, dependencia, servicios, insumos y disponibilidad. Confirmar con el establecimiento.</x:v>
      </x:c>
    </x:row>
    <x:row r="9" ht="58" customHeight="1">
      <x:c r="A9" s="20" t="str">
        <x:v>FAC-LEGACY-MSP24-161-7F284E6E017823E0</x:v>
      </x:c>
      <x:c r="B9" s="20" t="str">
        <x:v>Altos del Parque 2</x:v>
      </x:c>
      <x:c r="C9" s="20" t="str">
        <x:v>Montevideo</x:v>
      </x:c>
      <x:c r="D9" s="20" t="str">
        <x:v>Montevideo</x:v>
      </x:c>
      <x:c r="E9" s="20" t="str">
        <x:v>Américo Ricaldoni 1716</x:v>
      </x:c>
      <x:c r="F9" s="20" t="str">
        <x:v>current_dated</x:v>
      </x:c>
      <x:c r="G9" s="20" t="str">
        <x:v>Precio público fechado</x:v>
      </x:c>
      <x:c r="H9" s="20" t="str">
        <x:v>exact</x:v>
      </x:c>
      <x:c r="I9" s="20" t="str">
        <x:v>Habitación doble</x:v>
      </x:c>
      <x:c r="J9" s="20" t="str">
        <x:v>UYU</x:v>
      </x:c>
      <x:c r="K9" s="34" t="n">
        <x:v>100000</x:v>
      </x:c>
      <x:c r="L9" s="34" t="n">
        <x:v>100000</x:v>
      </x:c>
      <x:c r="M9" s="36" t="n">
        <x:v>1</x:v>
      </x:c>
      <x:c r="N9" s="20"/>
      <x:c r="O9" s="20" t="str">
        <x:v>original_uyu</x:v>
      </x:c>
      <x:c r="P9" s="34" t="n">
        <x:v>100000</x:v>
      </x:c>
      <x:c r="Q9" s="34" t="n">
        <x:v>100000</x:v>
      </x:c>
      <x:c r="R9" s="20" t="str">
        <x:v>$100.000</x:v>
      </x:c>
      <x:c r="S9" s="20" t="str">
        <x:v>2025-06-13</x:v>
      </x:c>
      <x:c r="T9" s="20" t="n">
        <x:v>2025</x:v>
      </x:c>
      <x:c r="U9" s="20" t="str">
        <x:v>Vitalence</x:v>
      </x:c>
      <x:c r="V9" s="20" t="str">
        <x:v>https://app.vitalencecare.com/VitalenceJavaEnvironment/servlet/com.vitalence.buscarcuartos</x:v>
      </x:c>
      <x:c r="W9" s="20" t="str">
        <x:v>high</x:v>
      </x:c>
      <x:c r="X9" s="20" t="str">
        <x:v>alta</x:v>
      </x:c>
      <x:c r="Y9" s="20" t="str">
        <x:v>medium</x:v>
      </x:c>
      <x:c r="Z9" s="30" t="b">
        <x:v>1</x:v>
      </x:c>
      <x:c r="AA9" s="20" t="str">
        <x:v>public_price</x:v>
      </x:c>
      <x:c r="AB9" s="20" t="str">
        <x:v>pending</x:v>
      </x:c>
      <x:c r="AC9" s="20" t="str">
        <x:v>BASE-005</x:v>
      </x:c>
      <x:c r="AD9" s="20" t="str">
        <x:v>La sucursal 2 se concilió por nombre y padrón.</x:v>
      </x:c>
      <x:c r="AE9" s="20" t="str">
        <x:v>Precio público orientativo. Puede variar según habitación, autonomía, dependencia, servicios, insumos y disponibilidad. Confirmar con el establecimiento.</x:v>
      </x:c>
    </x:row>
    <x:row r="10" ht="58" customHeight="1">
      <x:c r="A10" s="20" t="str">
        <x:v>FAC-LEGACY-ELP-0427-C438EEBBD66E1884</x:v>
      </x:c>
      <x:c r="B10" s="20" t="str">
        <x:v>Hogar Amelia Ruano de Schiaffino</x:v>
      </x:c>
      <x:c r="C10" s="20" t="str">
        <x:v>Montevideo</x:v>
      </x:c>
      <x:c r="D10" s="20" t="str">
        <x:v>Montevideo</x:v>
      </x:c>
      <x:c r="E10" s="20" t="str">
        <x:v>Pedro Trapani 1197</x:v>
      </x:c>
      <x:c r="F10" s="20" t="str">
        <x:v>historical</x:v>
      </x:c>
      <x:c r="G10" s="20" t="str">
        <x:v>Referencia histórica</x:v>
      </x:c>
      <x:c r="H10" s="20" t="str">
        <x:v>exact</x:v>
      </x:c>
      <x:c r="I10" s="20" t="str">
        <x:v>Habitación compartida para residentes privados</x:v>
      </x:c>
      <x:c r="J10" s="20" t="str">
        <x:v>UYU</x:v>
      </x:c>
      <x:c r="K10" s="34" t="n">
        <x:v>35000</x:v>
      </x:c>
      <x:c r="L10" s="34" t="n">
        <x:v>35000</x:v>
      </x:c>
      <x:c r="M10" s="36" t="n">
        <x:v>1</x:v>
      </x:c>
      <x:c r="N10" s="20"/>
      <x:c r="O10" s="20" t="str">
        <x:v>original_uyu</x:v>
      </x:c>
      <x:c r="P10" s="34" t="n">
        <x:v>35000</x:v>
      </x:c>
      <x:c r="Q10" s="34" t="n">
        <x:v>35000</x:v>
      </x:c>
      <x:c r="R10" s="20" t="str">
        <x:v>$35.000</x:v>
      </x:c>
      <x:c r="S10" s="20" t="str">
        <x:v>2019-07-21</x:v>
      </x:c>
      <x:c r="T10" s="20" t="n">
        <x:v>2019</x:v>
      </x:c>
      <x:c r="U10" s="20" t="str">
        <x:v>El Observador</x:v>
      </x:c>
      <x:c r="V10" s="20" t="str">
        <x:v>https://www.elobservador.com.uy/nota/residenciales-un-negocio-que-crece-con-tarifas-de-35-000-a-120-000-al-mes-201972132159</x:v>
      </x:c>
      <x:c r="W10" s="20" t="str">
        <x:v>high</x:v>
      </x:c>
      <x:c r="X10" s="20" t="str">
        <x:v>alta</x:v>
      </x:c>
      <x:c r="Y10" s="20" t="str">
        <x:v>high</x:v>
      </x:c>
      <x:c r="Z10" s="30" t="b">
        <x:v>0</x:v>
      </x:c>
      <x:c r="AA10" s="20" t="str">
        <x:v>historical_reference</x:v>
      </x:c>
      <x:c r="AB10" s="20" t="str">
        <x:v>pending</x:v>
      </x:c>
      <x:c r="AC10" s="20" t="str">
        <x:v>BASE-025</x:v>
      </x:c>
      <x:c r="AD10" s="20" t="str">
        <x:v>Referencia de 2019.</x:v>
      </x:c>
      <x:c r="AE10" s="20" t="str">
        <x:v>Referencia histórica expresada en pesos uruguayos para facilitar la lectura. No es una tarifa vigente y no fue actualizada por IPC.</x:v>
      </x:c>
    </x:row>
    <x:row r="11" ht="58" customHeight="1">
      <x:c r="A11" s="20" t="str">
        <x:v>FAC-LEGACY-ELP-0448-898D6DD9A7C54857</x:v>
      </x:c>
      <x:c r="B11" s="20" t="str">
        <x:v>Hotel Continental Senior</x:v>
      </x:c>
      <x:c r="C11" s="20" t="str">
        <x:v>Montevideo</x:v>
      </x:c>
      <x:c r="D11" s="20" t="str">
        <x:v>Montevideo</x:v>
      </x:c>
      <x:c r="E11" s="20" t="str">
        <x:v>Paraguay 1372</x:v>
      </x:c>
      <x:c r="F11" s="20" t="str">
        <x:v>historical</x:v>
      </x:c>
      <x:c r="G11" s="20" t="str">
        <x:v>Referencia histórica</x:v>
      </x:c>
      <x:c r="H11" s="20" t="str">
        <x:v>range_by_modality</x:v>
      </x:c>
      <x:c r="I11" s="20" t="str">
        <x:v>Habitación individual, persona autoválida | Habitación compartida, persona autoválida</x:v>
      </x:c>
      <x:c r="J11" s="20" t="str">
        <x:v>UYU</x:v>
      </x:c>
      <x:c r="K11" s="34" t="n">
        <x:v>35000</x:v>
      </x:c>
      <x:c r="L11" s="34" t="n">
        <x:v>58000</x:v>
      </x:c>
      <x:c r="M11" s="36" t="n">
        <x:v>1</x:v>
      </x:c>
      <x:c r="N11" s="20"/>
      <x:c r="O11" s="20" t="str">
        <x:v>original_uyu</x:v>
      </x:c>
      <x:c r="P11" s="34" t="n">
        <x:v>35000</x:v>
      </x:c>
      <x:c r="Q11" s="34" t="n">
        <x:v>58000</x:v>
      </x:c>
      <x:c r="R11" s="20" t="str">
        <x:v>$35.000–$58.000</x:v>
      </x:c>
      <x:c r="S11" s="20" t="str">
        <x:v>2016-09-11</x:v>
      </x:c>
      <x:c r="T11" s="20" t="n">
        <x:v>2016</x:v>
      </x:c>
      <x:c r="U11" s="20" t="str">
        <x:v>El País</x:v>
      </x:c>
      <x:c r="V11" s="20" t="str">
        <x:v>https://www.elpais.com.uy/negocios/finanzas/hoteles-para-jubilados-otra-opcion-al-manejar-el-retiro</x:v>
      </x:c>
      <x:c r="W11" s="20" t="str">
        <x:v>high</x:v>
      </x:c>
      <x:c r="X11" s="20" t="str">
        <x:v>alta</x:v>
      </x:c>
      <x:c r="Y11" s="20" t="str">
        <x:v>high</x:v>
      </x:c>
      <x:c r="Z11" s="30" t="b">
        <x:v>0</x:v>
      </x:c>
      <x:c r="AA11" s="20" t="str">
        <x:v>historical_reference</x:v>
      </x:c>
      <x:c r="AB11" s="20" t="str">
        <x:v>pending</x:v>
      </x:c>
      <x:c r="AC11" s="20" t="str">
        <x:v>NEW-001 | NEW-002</x:v>
      </x:c>
      <x:c r="AD11" s="20" t="str">
        <x:v>Fuente primaria; reemplaza como referencia preferida a la reproducción secundaria que indicaba $42.000. | Fuente primaria; modalidad compartida.</x:v>
      </x:c>
      <x:c r="AE11" s="20" t="str">
        <x:v>Referencia histórica expresada en pesos uruguayos para facilitar la lectura. No es una tarifa vigente y no fue actualizada por IPC.</x:v>
      </x:c>
    </x:row>
    <x:row r="12" ht="58" customHeight="1">
      <x:c r="A12" s="20" t="str">
        <x:v>FAC-LEGACY-ELP-0606-F6306003DF5F90F8</x:v>
      </x:c>
      <x:c r="B12" s="20" t="str">
        <x:v>Humana Residencial</x:v>
      </x:c>
      <x:c r="C12" s="20" t="str">
        <x:v>Montevideo</x:v>
      </x:c>
      <x:c r="D12" s="20" t="str">
        <x:v>Montevideo</x:v>
      </x:c>
      <x:c r="E12" s="20" t="str">
        <x:v>Bv. España 2128</x:v>
      </x:c>
      <x:c r="F12" s="20" t="str">
        <x:v>historical</x:v>
      </x:c>
      <x:c r="G12" s="20" t="str">
        <x:v>Referencia histórica</x:v>
      </x:c>
      <x:c r="H12" s="20" t="str">
        <x:v>exact</x:v>
      </x:c>
      <x:c r="I12" s="20" t="str">
        <x:v>Habitación individual</x:v>
      </x:c>
      <x:c r="J12" s="20" t="str">
        <x:v>UYU</x:v>
      </x:c>
      <x:c r="K12" s="34" t="n">
        <x:v>125000</x:v>
      </x:c>
      <x:c r="L12" s="34" t="n">
        <x:v>125000</x:v>
      </x:c>
      <x:c r="M12" s="36" t="n">
        <x:v>1</x:v>
      </x:c>
      <x:c r="N12" s="20"/>
      <x:c r="O12" s="20" t="str">
        <x:v>original_uyu</x:v>
      </x:c>
      <x:c r="P12" s="34" t="n">
        <x:v>125000</x:v>
      </x:c>
      <x:c r="Q12" s="34" t="n">
        <x:v>125000</x:v>
      </x:c>
      <x:c r="R12" s="20" t="str">
        <x:v>$125.000</x:v>
      </x:c>
      <x:c r="S12" s="20" t="str">
        <x:v>2019 aprox.</x:v>
      </x:c>
      <x:c r="T12" s="20" t="n">
        <x:v>2019</x:v>
      </x:c>
      <x:c r="U12" s="20" t="str">
        <x:v>InfoNegocios</x:v>
      </x:c>
      <x:c r="V12" s="20" t="str">
        <x:v>https://infonegocios.biz/un-dia-en/humana-con-su-directora-maria-methol</x:v>
      </x:c>
      <x:c r="W12" s="20" t="str">
        <x:v>medium</x:v>
      </x:c>
      <x:c r="X12" s="20" t="str">
        <x:v>media</x:v>
      </x:c>
      <x:c r="Y12" s="20" t="str">
        <x:v>high</x:v>
      </x:c>
      <x:c r="Z12" s="30" t="b">
        <x:v>0</x:v>
      </x:c>
      <x:c r="AA12" s="20" t="str">
        <x:v>historical_reference</x:v>
      </x:c>
      <x:c r="AB12" s="20" t="str">
        <x:v>pending</x:v>
      </x:c>
      <x:c r="AC12" s="20" t="str">
        <x:v>BASE-017</x:v>
      </x:c>
      <x:c r="AD12" s="20" t="str">
        <x:v>La fecha exacta no quedó visible en el resultado consultado.</x:v>
      </x:c>
      <x:c r="AE12" s="20" t="str">
        <x:v>Referencia histórica expresada en pesos uruguayos para facilitar la lectura. No es una tarifa vigente y no fue actualizada por IPC.</x:v>
      </x:c>
    </x:row>
    <x:row r="13" ht="58" customHeight="1">
      <x:c r="A13" s="20" t="str">
        <x:v>FAC-LEGACY-MSP24-111-D0D05002AAEC40A3</x:v>
      </x:c>
      <x:c r="B13" s="20" t="str">
        <x:v>La Maison Senior Apartments</x:v>
      </x:c>
      <x:c r="C13" s="20" t="str">
        <x:v>Montevideo</x:v>
      </x:c>
      <x:c r="D13" s="20" t="str">
        <x:v>Montevideo</x:v>
      </x:c>
      <x:c r="E13" s="20" t="str">
        <x:v>26 de Marzo 3322</x:v>
      </x:c>
      <x:c r="F13" s="20" t="str">
        <x:v>historical</x:v>
      </x:c>
      <x:c r="G13" s="20" t="str">
        <x:v>Referencia histórica</x:v>
      </x:c>
      <x:c r="H13" s="20" t="str">
        <x:v>up_to</x:v>
      </x:c>
      <x:c r="I13" s="20" t="str">
        <x:v>Según necesidades</x:v>
      </x:c>
      <x:c r="J13" s="20" t="str">
        <x:v>USD</x:v>
      </x:c>
      <x:c r="K13" s="34"/>
      <x:c r="L13" s="34" t="n">
        <x:v>5000</x:v>
      </x:c>
      <x:c r="M13" s="36" t="n">
        <x:v>40.214</x:v>
      </x:c>
      <x:c r="N13" s="20" t="str">
        <x:v>2026-07-28</x:v>
      </x:c>
      <x:c r="O13" s="20" t="str">
        <x:v>usd_x_bcu_2026-07-28</x:v>
      </x:c>
      <x:c r="P13" s="34"/>
      <x:c r="Q13" s="34" t="n">
        <x:v>201070</x:v>
      </x:c>
      <x:c r="R13" s="20" t="str">
        <x:v>Hasta aprox. $201.070</x:v>
      </x:c>
      <x:c r="S13" s="20" t="str">
        <x:v>2016-09-11</x:v>
      </x:c>
      <x:c r="T13" s="20" t="n">
        <x:v>2016</x:v>
      </x:c>
      <x:c r="U13" s="20" t="str">
        <x:v>El País</x:v>
      </x:c>
      <x:c r="V13" s="20" t="str">
        <x:v>https://www.elpais.com.uy/negocios/finanzas/hoteles-para-jubilados-otra-opcion-al-manejar-el-retiro</x:v>
      </x:c>
      <x:c r="W13" s="20" t="str">
        <x:v>high</x:v>
      </x:c>
      <x:c r="X13" s="20" t="str">
        <x:v>alta</x:v>
      </x:c>
      <x:c r="Y13" s="20" t="str">
        <x:v>high</x:v>
      </x:c>
      <x:c r="Z13" s="30" t="b">
        <x:v>0</x:v>
      </x:c>
      <x:c r="AA13" s="20" t="str">
        <x:v>historical_reference</x:v>
      </x:c>
      <x:c r="AB13" s="20" t="str">
        <x:v>pending</x:v>
      </x:c>
      <x:c r="AC13" s="20" t="str">
        <x:v>NEW-003</x:v>
      </x:c>
      <x:c r="AD13" s="20" t="str">
        <x:v>Fuente primaria; no convertir automáticamente a pesos uruguayos.</x:v>
      </x:c>
      <x:c r="AE13" s="20" t="str">
        <x:v>Referencia histórica expresada en pesos uruguayos para facilitar la lectura. No es una tarifa vigente y no fue actualizada por IPC.</x:v>
      </x:c>
    </x:row>
    <x:row r="14" ht="58" customHeight="1">
      <x:c r="A14" s="20" t="str">
        <x:v>FAC-LEGACY-ELP-0479-2A28F8D0ADC27059</x:v>
      </x:c>
      <x:c r="B14" s="20" t="str">
        <x:v>LAR - Centro</x:v>
      </x:c>
      <x:c r="C14" s="20" t="str">
        <x:v>Montevideo</x:v>
      </x:c>
      <x:c r="D14" s="20" t="str">
        <x:v>Montevideo</x:v>
      </x:c>
      <x:c r="E14" s="20" t="str">
        <x:v>Juan M. Espinosa 1480</x:v>
      </x:c>
      <x:c r="F14" s="20" t="str">
        <x:v>historical</x:v>
      </x:c>
      <x:c r="G14" s="20" t="str">
        <x:v>Referencia histórica</x:v>
      </x:c>
      <x:c r="H14" s="20" t="str">
        <x:v>from</x:v>
      </x:c>
      <x:c r="I14" s="20" t="str">
        <x:v>Desde</x:v>
      </x:c>
      <x:c r="J14" s="20" t="str">
        <x:v>UYU</x:v>
      </x:c>
      <x:c r="K14" s="34" t="n">
        <x:v>120000</x:v>
      </x:c>
      <x:c r="L14" s="34"/>
      <x:c r="M14" s="36" t="n">
        <x:v>1</x:v>
      </x:c>
      <x:c r="N14" s="20"/>
      <x:c r="O14" s="20" t="str">
        <x:v>original_uyu</x:v>
      </x:c>
      <x:c r="P14" s="34" t="n">
        <x:v>120000</x:v>
      </x:c>
      <x:c r="Q14" s="34"/>
      <x:c r="R14" s="20" t="str">
        <x:v>Desde $120.000</x:v>
      </x:c>
      <x:c r="S14" s="20" t="str">
        <x:v>2019-07-21</x:v>
      </x:c>
      <x:c r="T14" s="20" t="n">
        <x:v>2019</x:v>
      </x:c>
      <x:c r="U14" s="20" t="str">
        <x:v>El Observador</x:v>
      </x:c>
      <x:c r="V14" s="20" t="str">
        <x:v>https://www.elobservador.com.uy/nota/residenciales-un-negocio-que-crece-con-tarifas-de-35-000-a-120-000-al-mes-201972132159</x:v>
      </x:c>
      <x:c r="W14" s="20" t="str">
        <x:v>high</x:v>
      </x:c>
      <x:c r="X14" s="20" t="str">
        <x:v>alta</x:v>
      </x:c>
      <x:c r="Y14" s="20" t="str">
        <x:v>medium</x:v>
      </x:c>
      <x:c r="Z14" s="30" t="b">
        <x:v>0</x:v>
      </x:c>
      <x:c r="AA14" s="20" t="str">
        <x:v>historical_reference</x:v>
      </x:c>
      <x:c r="AB14" s="20" t="str">
        <x:v>pending</x:v>
      </x:c>
      <x:c r="AC14" s="20" t="str">
        <x:v>BASE-023</x:v>
      </x:c>
      <x:c r="AD14" s="20" t="str">
        <x:v>La nota menciona LAR en Buceo; conciliación prudente.</x:v>
      </x:c>
      <x:c r="AE14" s="20" t="str">
        <x:v>Referencia histórica expresada en pesos uruguayos para facilitar la lectura. No es una tarifa vigente y no fue actualizada por IPC.</x:v>
      </x:c>
    </x:row>
    <x:row r="15" ht="58" customHeight="1">
      <x:c r="A15" s="20" t="str">
        <x:v>FAC-LEGACY-MSP24-072-811E25FC964E9DA9</x:v>
      </x:c>
      <x:c r="B15" s="20" t="str">
        <x:v>Los Alpes</x:v>
      </x:c>
      <x:c r="C15" s="20" t="str">
        <x:v>Montevideo</x:v>
      </x:c>
      <x:c r="D15" s="20" t="str">
        <x:v>Montevideo</x:v>
      </x:c>
      <x:c r="E15" s="20" t="str">
        <x:v>Fernández Crespo 1776</x:v>
      </x:c>
      <x:c r="F15" s="20" t="str">
        <x:v>historical</x:v>
      </x:c>
      <x:c r="G15" s="20" t="str">
        <x:v>Referencia histórica</x:v>
      </x:c>
      <x:c r="H15" s="20" t="str">
        <x:v>exact</x:v>
      </x:c>
      <x:c r="I15" s="20" t="str">
        <x:v>Habitación compartida</x:v>
      </x:c>
      <x:c r="J15" s="20" t="str">
        <x:v>UYU</x:v>
      </x:c>
      <x:c r="K15" s="34" t="n">
        <x:v>40000</x:v>
      </x:c>
      <x:c r="L15" s="34" t="n">
        <x:v>40000</x:v>
      </x:c>
      <x:c r="M15" s="36" t="n">
        <x:v>1</x:v>
      </x:c>
      <x:c r="N15" s="20"/>
      <x:c r="O15" s="20" t="str">
        <x:v>original_uyu</x:v>
      </x:c>
      <x:c r="P15" s="34" t="n">
        <x:v>40000</x:v>
      </x:c>
      <x:c r="Q15" s="34" t="n">
        <x:v>40000</x:v>
      </x:c>
      <x:c r="R15" s="20" t="str">
        <x:v>$40.000</x:v>
      </x:c>
      <x:c r="S15" s="20" t="str">
        <x:v>2019-07-21</x:v>
      </x:c>
      <x:c r="T15" s="20" t="n">
        <x:v>2019</x:v>
      </x:c>
      <x:c r="U15" s="20" t="str">
        <x:v>El Observador</x:v>
      </x:c>
      <x:c r="V15" s="20" t="str">
        <x:v>https://www.elobservador.com.uy/nota/residenciales-un-negocio-que-crece-con-tarifas-de-35-000-a-120-000-al-mes-201972132159</x:v>
      </x:c>
      <x:c r="W15" s="20" t="str">
        <x:v>high</x:v>
      </x:c>
      <x:c r="X15" s="20" t="str">
        <x:v>alta</x:v>
      </x:c>
      <x:c r="Y15" s="20" t="str">
        <x:v>high</x:v>
      </x:c>
      <x:c r="Z15" s="30" t="b">
        <x:v>0</x:v>
      </x:c>
      <x:c r="AA15" s="20" t="str">
        <x:v>historical_reference</x:v>
      </x:c>
      <x:c r="AB15" s="20" t="str">
        <x:v>pending</x:v>
      </x:c>
      <x:c r="AC15" s="20" t="str">
        <x:v>BASE-024</x:v>
      </x:c>
      <x:c r="AD15" s="20" t="str">
        <x:v>Referencia de 2019.</x:v>
      </x:c>
      <x:c r="AE15" s="20" t="str">
        <x:v>Referencia histórica expresada en pesos uruguayos para facilitar la lectura. No es una tarifa vigente y no fue actualizada por IPC.</x:v>
      </x:c>
    </x:row>
    <x:row r="16" ht="58" customHeight="1">
      <x:c r="A16" s="20" t="str">
        <x:v>FAC-LEGACY-MSP24-011-690FB5E8DE8BD869</x:v>
      </x:c>
      <x:c r="B16" s="20" t="str">
        <x:v>Manas Home / MH Residencial</x:v>
      </x:c>
      <x:c r="C16" s="20" t="str">
        <x:v>Montevideo</x:v>
      </x:c>
      <x:c r="D16" s="20" t="str">
        <x:v>Montevideo</x:v>
      </x:c>
      <x:c r="E16" s="20" t="str">
        <x:v>Millington Drake 1993</x:v>
      </x:c>
      <x:c r="F16" s="20" t="str">
        <x:v>current_undated</x:v>
      </x:c>
      <x:c r="G16" s="20" t="str">
        <x:v>Precio público sin fecha</x:v>
      </x:c>
      <x:c r="H16" s="20" t="str">
        <x:v>from</x:v>
      </x:c>
      <x:c r="I16" s="20" t="str">
        <x:v>Desde; habitaciones individuales y compartidas</x:v>
      </x:c>
      <x:c r="J16" s="20" t="str">
        <x:v>UYU</x:v>
      </x:c>
      <x:c r="K16" s="34" t="n">
        <x:v>65000</x:v>
      </x:c>
      <x:c r="L16" s="34"/>
      <x:c r="M16" s="36" t="n">
        <x:v>1</x:v>
      </x:c>
      <x:c r="N16" s="20"/>
      <x:c r="O16" s="20" t="str">
        <x:v>original_uyu</x:v>
      </x:c>
      <x:c r="P16" s="34" t="n">
        <x:v>65000</x:v>
      </x:c>
      <x:c r="Q16" s="34"/>
      <x:c r="R16" s="20" t="str">
        <x:v>Desde $65.000</x:v>
      </x:c>
      <x:c r="S16" s="20" t="str">
        <x:v>Sin fecha visible</x:v>
      </x:c>
      <x:c r="T16" s="20"/>
      <x:c r="U16" s="20" t="str">
        <x:v>Red de Residenciales</x:v>
      </x:c>
      <x:c r="V16" s="20" t="str">
        <x:v>https://www.redresidenciales.uy/residencial_hotel/carrasco/residencial-manas-casa-asistida/</x:v>
      </x:c>
      <x:c r="W16" s="20" t="str">
        <x:v>medium</x:v>
      </x:c>
      <x:c r="X16" s="20" t="str">
        <x:v>media</x:v>
      </x:c>
      <x:c r="Y16" s="20" t="str">
        <x:v>high</x:v>
      </x:c>
      <x:c r="Z16" s="30" t="b">
        <x:v>1</x:v>
      </x:c>
      <x:c r="AA16" s="20" t="str">
        <x:v>public_price_confirm</x:v>
      </x:c>
      <x:c r="AB16" s="20" t="str">
        <x:v>pending</x:v>
      </x:c>
      <x:c r="AC16" s="20" t="str">
        <x:v>BASE-009</x:v>
      </x:c>
      <x:c r="AD16" s="20" t="str">
        <x:v>La ficha pública usa el nombre MH Residencial.</x:v>
      </x:c>
      <x:c r="AE16" s="20" t="str">
        <x:v>Precio público sin fecha visible. Puede estar desactualizado; confirmar antes de usar.</x:v>
      </x:c>
    </x:row>
    <x:row r="17" ht="58" customHeight="1">
      <x:c r="A17" s="20" t="str">
        <x:v>FAC-LEGACY-ELP-0350-1A44EC6E54F3F2D9</x:v>
      </x:c>
      <x:c r="B17" s="20" t="str">
        <x:v>Moirú</x:v>
      </x:c>
      <x:c r="C17" s="20" t="str">
        <x:v>Montevideo</x:v>
      </x:c>
      <x:c r="D17" s="20" t="str">
        <x:v>Montevideo</x:v>
      </x:c>
      <x:c r="E17" s="20" t="str">
        <x:v>Juan Carlos Blanco 3362</x:v>
      </x:c>
      <x:c r="F17" s="20" t="str">
        <x:v>historical</x:v>
      </x:c>
      <x:c r="G17" s="20" t="str">
        <x:v>Referencia histórica</x:v>
      </x:c>
      <x:c r="H17" s="20" t="str">
        <x:v>range</x:v>
      </x:c>
      <x:c r="I17" s="20" t="str">
        <x:v>Según modalidad y necesidades</x:v>
      </x:c>
      <x:c r="J17" s="20" t="str">
        <x:v>UYU</x:v>
      </x:c>
      <x:c r="K17" s="34" t="n">
        <x:v>45000</x:v>
      </x:c>
      <x:c r="L17" s="34" t="n">
        <x:v>75000</x:v>
      </x:c>
      <x:c r="M17" s="36" t="n">
        <x:v>1</x:v>
      </x:c>
      <x:c r="N17" s="20"/>
      <x:c r="O17" s="20" t="str">
        <x:v>original_uyu</x:v>
      </x:c>
      <x:c r="P17" s="34" t="n">
        <x:v>45000</x:v>
      </x:c>
      <x:c r="Q17" s="34" t="n">
        <x:v>75000</x:v>
      </x:c>
      <x:c r="R17" s="20" t="str">
        <x:v>$45.000–$75.000</x:v>
      </x:c>
      <x:c r="S17" s="20" t="str">
        <x:v>2021-12-24</x:v>
      </x:c>
      <x:c r="T17" s="20" t="n">
        <x:v>2021</x:v>
      </x:c>
      <x:c r="U17" s="20" t="str">
        <x:v>InfoNegocios</x:v>
      </x:c>
      <x:c r="V17" s="20" t="str">
        <x:v>https://infonegocios.biz/nota-principal/moiru-quiere-romper-el-paradigma-va-por-mas-locales</x:v>
      </x:c>
      <x:c r="W17" s="20" t="str">
        <x:v>high</x:v>
      </x:c>
      <x:c r="X17" s="20" t="str">
        <x:v>alta</x:v>
      </x:c>
      <x:c r="Y17" s="20" t="str">
        <x:v>high</x:v>
      </x:c>
      <x:c r="Z17" s="30" t="b">
        <x:v>0</x:v>
      </x:c>
      <x:c r="AA17" s="20" t="str">
        <x:v>historical_reference</x:v>
      </x:c>
      <x:c r="AB17" s="20" t="str">
        <x:v>pending</x:v>
      </x:c>
      <x:c r="AC17" s="20" t="str">
        <x:v>BASE-016</x:v>
      </x:c>
      <x:c r="AD17" s="20" t="str">
        <x:v>Referencia de 2021.</x:v>
      </x:c>
      <x:c r="AE17" s="20" t="str">
        <x:v>Referencia histórica expresada en pesos uruguayos para facilitar la lectura. No es una tarifa vigente y no fue actualizada por IPC.</x:v>
      </x:c>
    </x:row>
    <x:row r="18" ht="58" customHeight="1">
      <x:c r="A18" s="20" t="str">
        <x:v>FAC-LEGACY-MSP24-044-83322A666C272E22</x:v>
      </x:c>
      <x:c r="B18" s="20" t="str">
        <x:v>Red Bienestar</x:v>
      </x:c>
      <x:c r="C18" s="20" t="str">
        <x:v>Montevideo</x:v>
      </x:c>
      <x:c r="D18" s="20" t="str">
        <x:v>Montevideo</x:v>
      </x:c>
      <x:c r="E18" s="20" t="str">
        <x:v>Av. Rivera 4589</x:v>
      </x:c>
      <x:c r="F18" s="20" t="str">
        <x:v>historical</x:v>
      </x:c>
      <x:c r="G18" s="20" t="str">
        <x:v>Referencia histórica</x:v>
      </x:c>
      <x:c r="H18" s="20" t="str">
        <x:v>from</x:v>
      </x:c>
      <x:c r="I18" s="20" t="str">
        <x:v>Mínimo; según habitación</x:v>
      </x:c>
      <x:c r="J18" s="20" t="str">
        <x:v>UYU</x:v>
      </x:c>
      <x:c r="K18" s="34" t="n">
        <x:v>38000</x:v>
      </x:c>
      <x:c r="L18" s="34"/>
      <x:c r="M18" s="36" t="n">
        <x:v>1</x:v>
      </x:c>
      <x:c r="N18" s="20"/>
      <x:c r="O18" s="20" t="str">
        <x:v>original_uyu</x:v>
      </x:c>
      <x:c r="P18" s="34" t="n">
        <x:v>38000</x:v>
      </x:c>
      <x:c r="Q18" s="34"/>
      <x:c r="R18" s="20" t="str">
        <x:v>Desde $38.000</x:v>
      </x:c>
      <x:c r="S18" s="20" t="str">
        <x:v>2019-07-21</x:v>
      </x:c>
      <x:c r="T18" s="20" t="n">
        <x:v>2019</x:v>
      </x:c>
      <x:c r="U18" s="20" t="str">
        <x:v>El Observador</x:v>
      </x:c>
      <x:c r="V18" s="20" t="str">
        <x:v>https://www.elobservador.com.uy/nota/residenciales-un-negocio-que-crece-con-tarifas-de-35-000-a-120-000-al-mes-201972132159</x:v>
      </x:c>
      <x:c r="W18" s="20" t="str">
        <x:v>high</x:v>
      </x:c>
      <x:c r="X18" s="20" t="str">
        <x:v>alta</x:v>
      </x:c>
      <x:c r="Y18" s="20" t="str">
        <x:v>high</x:v>
      </x:c>
      <x:c r="Z18" s="30" t="b">
        <x:v>0</x:v>
      </x:c>
      <x:c r="AA18" s="20" t="str">
        <x:v>historical_reference</x:v>
      </x:c>
      <x:c r="AB18" s="20" t="str">
        <x:v>pending</x:v>
      </x:c>
      <x:c r="AC18" s="20" t="str">
        <x:v>BASE-022</x:v>
      </x:c>
      <x:c r="AD18" s="20" t="str">
        <x:v>Referencia de 2019.</x:v>
      </x:c>
      <x:c r="AE18" s="20" t="str">
        <x:v>Referencia histórica expresada en pesos uruguayos para facilitar la lectura. No es una tarifa vigente y no fue actualizada por IPC.</x:v>
      </x:c>
    </x:row>
    <x:row r="19" ht="58" customHeight="1">
      <x:c r="A19" s="20" t="str">
        <x:v>FAC-CANDIDATE-141</x:v>
      </x:c>
      <x:c r="B19" s="20" t="str">
        <x:v>Residencial Pontevedra</x:v>
      </x:c>
      <x:c r="C19" s="20" t="str">
        <x:v>Montevideo</x:v>
      </x:c>
      <x:c r="D19" s="20" t="str">
        <x:v>Montevideo</x:v>
      </x:c>
      <x:c r="E19" s="20" t="str">
        <x:v>Blandengues 1915</x:v>
      </x:c>
      <x:c r="F19" s="20" t="str">
        <x:v>current_undated</x:v>
      </x:c>
      <x:c r="G19" s="20" t="str">
        <x:v>Precio público sin fecha</x:v>
      </x:c>
      <x:c r="H19" s="20" t="str">
        <x:v>exact</x:v>
      </x:c>
      <x:c r="I19" s="20" t="str">
        <x:v>Modalidad no precisada</x:v>
      </x:c>
      <x:c r="J19" s="20" t="str">
        <x:v>UYU_INFERRED</x:v>
      </x:c>
      <x:c r="K19" s="34" t="n">
        <x:v>29000</x:v>
      </x:c>
      <x:c r="L19" s="34" t="n">
        <x:v>29000</x:v>
      </x:c>
      <x:c r="M19" s="36" t="n">
        <x:v>1</x:v>
      </x:c>
      <x:c r="N19" s="20"/>
      <x:c r="O19" s="20" t="str">
        <x:v>original_uyu_inferred</x:v>
      </x:c>
      <x:c r="P19" s="34" t="n">
        <x:v>29000</x:v>
      </x:c>
      <x:c r="Q19" s="34" t="n">
        <x:v>29000</x:v>
      </x:c>
      <x:c r="R19" s="20" t="str">
        <x:v>$29.000</x:v>
      </x:c>
      <x:c r="S19" s="20" t="str">
        <x:v>Sin fecha visible</x:v>
      </x:c>
      <x:c r="T19" s="20"/>
      <x:c r="U19" s="20" t="str">
        <x:v>Red de Residenciales</x:v>
      </x:c>
      <x:c r="V19" s="20" t="str">
        <x:v>https://www.redresidenciales.uy/residencial-hotel/montevideo/reducto/residencial-pontevedra/</x:v>
      </x:c>
      <x:c r="W19" s="20" t="str">
        <x:v>low</x:v>
      </x:c>
      <x:c r="X19" s="20" t="str">
        <x:v>baja</x:v>
      </x:c>
      <x:c r="Y19" s="20" t="str">
        <x:v>high</x:v>
      </x:c>
      <x:c r="Z19" s="30" t="b">
        <x:v>1</x:v>
      </x:c>
      <x:c r="AA19" s="20" t="str">
        <x:v>public_price_confirm</x:v>
      </x:c>
      <x:c r="AB19" s="20" t="str">
        <x:v>pending</x:v>
      </x:c>
      <x:c r="AC19" s="20" t="str">
        <x:v>BASE-011</x:v>
      </x:c>
      <x:c r="AD19" s="20" t="str">
        <x:v>La página omite símbolo y moneda; el valor parece histórico.</x:v>
      </x:c>
      <x:c r="AE19" s="20" t="str">
        <x:v>Precio público sin fecha visible. Puede estar desactualizado; confirmar antes de usar.</x:v>
      </x:c>
    </x:row>
    <x:row r="20" ht="58" customHeight="1">
      <x:c r="A20" s="20" t="str">
        <x:v>FAC-LEGACY-MSP24-128-0077C3F2BA4412D2</x:v>
      </x:c>
      <x:c r="B20" s="20" t="str">
        <x:v>Saniguet</x:v>
      </x:c>
      <x:c r="C20" s="20" t="str">
        <x:v>Montevideo</x:v>
      </x:c>
      <x:c r="D20" s="20" t="str">
        <x:v>Montevideo</x:v>
      </x:c>
      <x:c r="E20" s="20" t="str">
        <x:v>Av. Millán 3260</x:v>
      </x:c>
      <x:c r="F20" s="20" t="str">
        <x:v>current_dated</x:v>
      </x:c>
      <x:c r="G20" s="20" t="str">
        <x:v>Precio público fechado</x:v>
      </x:c>
      <x:c r="H20" s="20" t="str">
        <x:v>range</x:v>
      </x:c>
      <x:c r="I20" s="20" t="str">
        <x:v>Habitación cuádruple</x:v>
      </x:c>
      <x:c r="J20" s="20" t="str">
        <x:v>UYU</x:v>
      </x:c>
      <x:c r="K20" s="34" t="n">
        <x:v>60000</x:v>
      </x:c>
      <x:c r="L20" s="34" t="n">
        <x:v>80000</x:v>
      </x:c>
      <x:c r="M20" s="36" t="n">
        <x:v>1</x:v>
      </x:c>
      <x:c r="N20" s="20"/>
      <x:c r="O20" s="20" t="str">
        <x:v>original_uyu</x:v>
      </x:c>
      <x:c r="P20" s="34" t="n">
        <x:v>60000</x:v>
      </x:c>
      <x:c r="Q20" s="34" t="n">
        <x:v>80000</x:v>
      </x:c>
      <x:c r="R20" s="20" t="str">
        <x:v>$60.000–$80.000</x:v>
      </x:c>
      <x:c r="S20" s="20" t="str">
        <x:v>2025-06-12</x:v>
      </x:c>
      <x:c r="T20" s="20" t="n">
        <x:v>2025</x:v>
      </x:c>
      <x:c r="U20" s="20" t="str">
        <x:v>Vitalence</x:v>
      </x:c>
      <x:c r="V20" s="20" t="str">
        <x:v>https://app.vitalencecare.com/VitalenceJavaEnvironment/servlet/com.vitalence.buscarcuartos</x:v>
      </x:c>
      <x:c r="W20" s="20" t="str">
        <x:v>high</x:v>
      </x:c>
      <x:c r="X20" s="20" t="str">
        <x:v>alta</x:v>
      </x:c>
      <x:c r="Y20" s="20" t="str">
        <x:v>high</x:v>
      </x:c>
      <x:c r="Z20" s="30" t="b">
        <x:v>1</x:v>
      </x:c>
      <x:c r="AA20" s="20" t="str">
        <x:v>public_price</x:v>
      </x:c>
      <x:c r="AB20" s="20" t="str">
        <x:v>pending</x:v>
      </x:c>
      <x:c r="AC20" s="20" t="str">
        <x:v>BASE-003</x:v>
      </x:c>
      <x:c r="AD20" s="20" t="str">
        <x:v>La disponibilidad puede haber cambiado.</x:v>
      </x:c>
      <x:c r="AE20" s="20" t="str">
        <x:v>Precio público orientativo. Puede variar según habitación, autonomía, dependencia, servicios, insumos y disponibilidad. Confirmar con el establecimiento.</x:v>
      </x:c>
    </x:row>
    <x:row r="21" ht="58" customHeight="1">
      <x:c r="A21" s="20" t="str">
        <x:v>FAC-LEGACY-MSP24-041-25544A83B648E4BA</x:v>
      </x:c>
      <x:c r="B21" s="20" t="str">
        <x:v>Santa Bernardita</x:v>
      </x:c>
      <x:c r="C21" s="20" t="str">
        <x:v>Montevideo</x:v>
      </x:c>
      <x:c r="D21" s="20" t="str">
        <x:v>Montevideo</x:v>
      </x:c>
      <x:c r="E21" s="20" t="str">
        <x:v>19 de Abril 1140</x:v>
      </x:c>
      <x:c r="F21" s="20" t="str">
        <x:v>current_undated</x:v>
      </x:c>
      <x:c r="G21" s="20" t="str">
        <x:v>Precio público sin fecha</x:v>
      </x:c>
      <x:c r="H21" s="20" t="str">
        <x:v>from</x:v>
      </x:c>
      <x:c r="I21" s="20" t="str">
        <x:v>Desde; habitación privada con baño compartido</x:v>
      </x:c>
      <x:c r="J21" s="20" t="str">
        <x:v>UYU</x:v>
      </x:c>
      <x:c r="K21" s="34" t="n">
        <x:v>55000</x:v>
      </x:c>
      <x:c r="L21" s="34"/>
      <x:c r="M21" s="36" t="n">
        <x:v>1</x:v>
      </x:c>
      <x:c r="N21" s="20"/>
      <x:c r="O21" s="20" t="str">
        <x:v>original_uyu</x:v>
      </x:c>
      <x:c r="P21" s="34" t="n">
        <x:v>55000</x:v>
      </x:c>
      <x:c r="Q21" s="34"/>
      <x:c r="R21" s="20" t="str">
        <x:v>Desde $55.000</x:v>
      </x:c>
      <x:c r="S21" s="20" t="str">
        <x:v>Sin fecha visible</x:v>
      </x:c>
      <x:c r="T21" s="20"/>
      <x:c r="U21" s="20" t="str">
        <x:v>Red de Residenciales</x:v>
      </x:c>
      <x:c r="V21" s="20" t="str">
        <x:v>https://www.redresidenciales.uy/residencial_hotel/montevideo/prado/prado/santa-bernardita-0/</x:v>
      </x:c>
      <x:c r="W21" s="20" t="str">
        <x:v>medium</x:v>
      </x:c>
      <x:c r="X21" s="20" t="str">
        <x:v>media</x:v>
      </x:c>
      <x:c r="Y21" s="20" t="str">
        <x:v>high</x:v>
      </x:c>
      <x:c r="Z21" s="30" t="b">
        <x:v>1</x:v>
      </x:c>
      <x:c r="AA21" s="20" t="str">
        <x:v>public_price_confirm</x:v>
      </x:c>
      <x:c r="AB21" s="20" t="str">
        <x:v>pending</x:v>
      </x:c>
      <x:c r="AC21" s="20" t="str">
        <x:v>BASE-007</x:v>
      </x:c>
      <x:c r="AD21" s="20" t="str">
        <x:v>El directorio no muestra fecha de actualización.</x:v>
      </x:c>
      <x:c r="AE21" s="20" t="str">
        <x:v>Precio público sin fecha visible. Puede estar desactualizado; confirmar antes de usar.</x:v>
      </x:c>
    </x:row>
    <x:row r="22" ht="58" customHeight="1">
      <x:c r="A22" s="20" t="str">
        <x:v>FAC-CANDIDATE-171</x:v>
      </x:c>
      <x:c r="B22" s="20" t="str">
        <x:v>Álamos Montevideo</x:v>
      </x:c>
      <x:c r="C22" s="20" t="str">
        <x:v>Montevideo</x:v>
      </x:c>
      <x:c r="D22" s="20" t="str">
        <x:v>Montevideo</x:v>
      </x:c>
      <x:c r="E22" s="20" t="str">
        <x:v>Ibiray 2398</x:v>
      </x:c>
      <x:c r="F22" s="20" t="str">
        <x:v>historical</x:v>
      </x:c>
      <x:c r="G22" s="20" t="str">
        <x:v>Referencia histórica</x:v>
      </x:c>
      <x:c r="H22" s="20" t="str">
        <x:v>from</x:v>
      </x:c>
      <x:c r="I22" s="20" t="str">
        <x:v>Desde</x:v>
      </x:c>
      <x:c r="J22" s="20" t="str">
        <x:v>UYU</x:v>
      </x:c>
      <x:c r="K22" s="34" t="n">
        <x:v>95000</x:v>
      </x:c>
      <x:c r="L22" s="34"/>
      <x:c r="M22" s="36" t="n">
        <x:v>1</x:v>
      </x:c>
      <x:c r="N22" s="20"/>
      <x:c r="O22" s="20" t="str">
        <x:v>original_uyu</x:v>
      </x:c>
      <x:c r="P22" s="34" t="n">
        <x:v>95000</x:v>
      </x:c>
      <x:c r="Q22" s="34"/>
      <x:c r="R22" s="20" t="str">
        <x:v>Desde $95.000</x:v>
      </x:c>
      <x:c r="S22" s="20" t="str">
        <x:v>2020-05-20</x:v>
      </x:c>
      <x:c r="T22" s="20" t="n">
        <x:v>2020</x:v>
      </x:c>
      <x:c r="U22" s="20" t="str">
        <x:v>InfoNegocios</x:v>
      </x:c>
      <x:c r="V22" s="20" t="str">
        <x:v>https://infonegocios.biz/enfoque/llega-el-nuevo-residencial-alamos-un-centro-de-primer-nivel-para-adultos-mayores</x:v>
      </x:c>
      <x:c r="W22" s="20" t="str">
        <x:v>high</x:v>
      </x:c>
      <x:c r="X22" s="20" t="str">
        <x:v>alta</x:v>
      </x:c>
      <x:c r="Y22" s="20" t="str">
        <x:v>high</x:v>
      </x:c>
      <x:c r="Z22" s="30" t="b">
        <x:v>0</x:v>
      </x:c>
      <x:c r="AA22" s="20" t="str">
        <x:v>historical_reference</x:v>
      </x:c>
      <x:c r="AB22" s="20" t="str">
        <x:v>pending</x:v>
      </x:c>
      <x:c r="AC22" s="20" t="str">
        <x:v>BASE-015</x:v>
      </x:c>
      <x:c r="AD22" s="20" t="str">
        <x:v>Referencia de lanzamiento de 2020.</x:v>
      </x:c>
      <x:c r="AE22" s="20" t="str">
        <x:v>Referencia histórica expresada en pesos uruguayos para facilitar la lectura. No es una tarifa vigente y no fue actualizada por IPC.</x:v>
      </x:c>
    </x:row>
  </x:sheetData>
  <x:conditionalFormatting sqref="AB2:AB22">
    <x:cfRule type="expression" dxfId="0" priority="1">
      <x:formula>AB2="approved"</x:formula>
    </x:cfRule>
    <x:cfRule type="expression" dxfId="1" priority="2">
      <x:formula>AB2="rejected"</x:formula>
    </x:cfRule>
    <x:cfRule type="expression" dxfId="2" priority="3">
      <x:formula>AB2="needs_research"</x:formula>
    </x:cfRule>
  </x:conditionalFormatting>
  <x:conditionalFormatting sqref="A2:AE22">
    <x:cfRule type="expression" dxfId="3" priority="4">
      <x:formula>$F2="historical"</x:formula>
    </x:cfRule>
  </x:conditionalFormatting>
  <x:dataValidations count="1">
    <x:dataValidation type="list" sqref="AB2:AB22">
      <x:formula1>"pending,approved,rejected,needs_research"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b2ca9679774b0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1" hidden="0" customWidth="1"/>
    <x:col min="4" max="4" width="17" hidden="0" customWidth="1"/>
    <x:col min="5" max="5" width="18" hidden="0" customWidth="1"/>
    <x:col min="6" max="6" width="35" hidden="0" customWidth="1"/>
    <x:col min="7" max="7" width="17" hidden="0" customWidth="1"/>
    <x:col min="8" max="8" width="23" hidden="0" customWidth="1"/>
    <x:col min="9" max="9" width="23" hidden="0" customWidth="1"/>
    <x:col min="10" max="10" width="38" hidden="0" customWidth="1"/>
    <x:col min="11" max="11" width="17" hidden="0" customWidth="1"/>
    <x:col min="12" max="12" width="17" hidden="0" customWidth="1"/>
    <x:col min="13" max="13" width="17" hidden="0" customWidth="1"/>
    <x:col min="14" max="14" width="18" hidden="0" customWidth="1"/>
    <x:col min="15" max="15" width="20" hidden="0" customWidth="1"/>
    <x:col min="16" max="16" width="20" hidden="0" customWidth="1"/>
    <x:col min="17" max="17" width="25" hidden="0" customWidth="1"/>
    <x:col min="18" max="18" width="14" hidden="0" customWidth="1"/>
    <x:col min="19" max="19" width="26" hidden="0" customWidth="1"/>
    <x:col min="20" max="20" width="68" hidden="0" customWidth="1"/>
    <x:col min="21" max="21" width="48" hidden="0" customWidth="1"/>
    <x:col min="22" max="22" width="43" hidden="0" customWidth="1"/>
    <x:col min="23" max="23" width="26" hidden="0" customWidth="1"/>
    <x:col min="24" max="24" width="18" hidden="0" customWidth="1"/>
    <x:col min="25" max="25" width="18" hidden="0" customWidth="1"/>
    <x:col min="26" max="26" width="38" hidden="0" customWidth="1"/>
    <x:col min="27" max="27" width="52" hidden="0" customWidth="1"/>
    <x:col min="28" max="28" width="18" hidden="0" customWidth="1"/>
  </x:cols>
  <x:sheetData>
    <x:row r="1">
      <x:c r="A1" s="12" t="str">
        <x:v>record_id</x:v>
      </x:c>
      <x:c r="B1" s="12" t="str">
        <x:v>arandu_id</x:v>
      </x:c>
      <x:c r="C1" s="12" t="str">
        <x:v>facility_name</x:v>
      </x:c>
      <x:c r="D1" s="12" t="str">
        <x:v>department</x:v>
      </x:c>
      <x:c r="E1" s="12" t="str">
        <x:v>locality</x:v>
      </x:c>
      <x:c r="F1" s="12" t="str">
        <x:v>address</x:v>
      </x:c>
      <x:c r="G1" s="12" t="str">
        <x:v>matched_to_arandu</x:v>
      </x:c>
      <x:c r="H1" s="12" t="str">
        <x:v>evidence_type</x:v>
      </x:c>
      <x:c r="I1" s="12" t="str">
        <x:v>evidence_category</x:v>
      </x:c>
      <x:c r="J1" s="12" t="str">
        <x:v>modality</x:v>
      </x:c>
      <x:c r="K1" s="12" t="str">
        <x:v>original_currency</x:v>
      </x:c>
      <x:c r="L1" s="12" t="str">
        <x:v>original_price_min</x:v>
      </x:c>
      <x:c r="M1" s="12" t="str">
        <x:v>original_price_max</x:v>
      </x:c>
      <x:c r="N1" s="12" t="str">
        <x:v>exchange_rate_to_uyu</x:v>
      </x:c>
      <x:c r="O1" s="12" t="str">
        <x:v>normalized_price_min_uyu</x:v>
      </x:c>
      <x:c r="P1" s="12" t="str">
        <x:v>normalized_price_max_uyu</x:v>
      </x:c>
      <x:c r="Q1" s="12" t="str">
        <x:v>source_date_text</x:v>
      </x:c>
      <x:c r="R1" s="12" t="str">
        <x:v>source_year</x:v>
      </x:c>
      <x:c r="S1" s="12" t="str">
        <x:v>source_label</x:v>
      </x:c>
      <x:c r="T1" s="12" t="str">
        <x:v>source_url</x:v>
      </x:c>
      <x:c r="U1" s="12" t="str">
        <x:v>raw_text</x:v>
      </x:c>
      <x:c r="V1" s="12" t="str">
        <x:v>includes</x:v>
      </x:c>
      <x:c r="W1" s="12" t="str">
        <x:v>temporal_status</x:v>
      </x:c>
      <x:c r="X1" s="12" t="str">
        <x:v>price_confidence</x:v>
      </x:c>
      <x:c r="Y1" s="12" t="str">
        <x:v>match_confidence</x:v>
      </x:c>
      <x:c r="Z1" s="12" t="str">
        <x:v>publish_recommendation</x:v>
      </x:c>
      <x:c r="AA1" s="12" t="str">
        <x:v>notes</x:v>
      </x:c>
      <x:c r="AB1" s="12" t="str">
        <x:v>review_status</x:v>
      </x:c>
    </x:row>
    <x:row r="2" ht="58" customHeight="1">
      <x:c r="A2" s="20" t="str">
        <x:v>BASE-001</x:v>
      </x:c>
      <x:c r="B2" s="20" t="str">
        <x:v>FAC-LEGACY-ELP-0048-2D20813D86F4F23D</x:v>
      </x:c>
      <x:c r="C2" s="20" t="str">
        <x:v>La Estancia Hotel Residencial</x:v>
      </x:c>
      <x:c r="D2" s="20" t="str">
        <x:v>Canelones</x:v>
      </x:c>
      <x:c r="E2" s="20" t="str">
        <x:v>Canelones</x:v>
      </x:c>
      <x:c r="F2" s="20" t="str">
        <x:v>María Stagnero de Munar esq. Camino Imperiale s/n</x:v>
      </x:c>
      <x:c r="G2" s="30" t="b">
        <x:v>1</x:v>
      </x:c>
      <x:c r="H2" s="20" t="str">
        <x:v>commercial_tariff</x:v>
      </x:c>
      <x:c r="I2" s="20" t="str">
        <x:v>price_from</x:v>
      </x:c>
      <x:c r="J2" s="20" t="str">
        <x:v>Habitación compartida</x:v>
      </x:c>
      <x:c r="K2" s="20" t="str">
        <x:v>UYU</x:v>
      </x:c>
      <x:c r="L2" s="34" t="n">
        <x:v>85000</x:v>
      </x:c>
      <x:c r="M2" s="34"/>
      <x:c r="N2" s="36" t="n">
        <x:v>1</x:v>
      </x:c>
      <x:c r="O2" s="34" t="n">
        <x:v>85000</x:v>
      </x:c>
      <x:c r="P2" s="34"/>
      <x:c r="Q2" s="20" t="str">
        <x:v>2026-05-03</x:v>
      </x:c>
      <x:c r="R2" s="20" t="n">
        <x:v>2026</x:v>
      </x:c>
      <x:c r="S2" s="20" t="str">
        <x:v>Somos Uruguay</x:v>
      </x:c>
      <x:c r="T2" s="20" t="str">
        <x:v>https://somosuruguay.com.uy/sociedad/la-estancia-hotel-residencial-una-propuesta-busca-transformar-forma-cuidar-adultos-mayores-n2843/amp</x:v>
      </x:c>
      <x:c r="U2" s="20" t="str">
        <x:v>Parte de $85.000 mensuales por una plaza en habitación compartida.</x:v>
      </x:c>
      <x:c r="V2" s="20" t="str">
        <x:v>Alimentación, lavandería, enfermería, atención médica y prestaciones exigidas a un ELEPEM habilitado.</x:v>
      </x:c>
      <x:c r="W2" s="20" t="str">
        <x:v>Publicado en 2026</x:v>
      </x:c>
      <x:c r="X2" s="20" t="str">
        <x:v>high</x:v>
      </x:c>
      <x:c r="Y2" s="20" t="str">
        <x:v>high</x:v>
      </x:c>
      <x:c r="Z2" s="20" t="str">
        <x:v>publish_public_price_dated</x:v>
      </x:c>
      <x:c r="AA2" s="20" t="str">
        <x:v>Precio de partida; confirmar disponibilidad y condiciones.</x:v>
      </x:c>
      <x:c r="AB2" s="20" t="str">
        <x:v>pending</x:v>
      </x:c>
    </x:row>
    <x:row r="3" ht="58" customHeight="1">
      <x:c r="A3" s="20" t="str">
        <x:v>BASE-002</x:v>
      </x:c>
      <x:c r="B3" s="20" t="str">
        <x:v>FAC-LEGACY-ELP-0048-2D20813D86F4F23D</x:v>
      </x:c>
      <x:c r="C3" s="20" t="str">
        <x:v>La Estancia Hotel Residencial</x:v>
      </x:c>
      <x:c r="D3" s="20" t="str">
        <x:v>Canelones</x:v>
      </x:c>
      <x:c r="E3" s="20" t="str">
        <x:v>Canelones</x:v>
      </x:c>
      <x:c r="F3" s="20" t="str">
        <x:v>María Stagnero de Munar esq. Camino Imperiale s/n</x:v>
      </x:c>
      <x:c r="G3" s="30" t="b">
        <x:v>1</x:v>
      </x:c>
      <x:c r="H3" s="20" t="str">
        <x:v>commercial_tariff</x:v>
      </x:c>
      <x:c r="I3" s="20" t="str">
        <x:v>exact_amount</x:v>
      </x:c>
      <x:c r="J3" s="20" t="str">
        <x:v>Habitación individual</x:v>
      </x:c>
      <x:c r="K3" s="20" t="str">
        <x:v>UYU</x:v>
      </x:c>
      <x:c r="L3" s="34" t="n">
        <x:v>135000</x:v>
      </x:c>
      <x:c r="M3" s="34" t="n">
        <x:v>135000</x:v>
      </x:c>
      <x:c r="N3" s="36" t="n">
        <x:v>1</x:v>
      </x:c>
      <x:c r="O3" s="34" t="n">
        <x:v>135000</x:v>
      </x:c>
      <x:c r="P3" s="34" t="n">
        <x:v>135000</x:v>
      </x:c>
      <x:c r="Q3" s="20" t="str">
        <x:v>2026-05-03</x:v>
      </x:c>
      <x:c r="R3" s="20" t="n">
        <x:v>2026</x:v>
      </x:c>
      <x:c r="S3" s="20" t="str">
        <x:v>Somos Uruguay</x:v>
      </x:c>
      <x:c r="T3" s="20" t="str">
        <x:v>https://somosuruguay.com.uy/sociedad/la-estancia-hotel-residencial-una-propuesta-busca-transformar-forma-cuidar-adultos-mayores-n2843/amp</x:v>
      </x:c>
      <x:c r="U3" s="20" t="str">
        <x:v>Una habitación individual asciende a $135.000.</x:v>
      </x:c>
      <x:c r="V3" s="20" t="str">
        <x:v>Alimentación, lavandería, enfermería, atención médica y prestaciones exigidas a un ELEPEM habilitado.</x:v>
      </x:c>
      <x:c r="W3" s="20" t="str">
        <x:v>Publicado en 2026</x:v>
      </x:c>
      <x:c r="X3" s="20" t="str">
        <x:v>high</x:v>
      </x:c>
      <x:c r="Y3" s="20" t="str">
        <x:v>high</x:v>
      </x:c>
      <x:c r="Z3" s="20" t="str">
        <x:v>publish_public_price_dated</x:v>
      </x:c>
      <x:c r="AA3" s="20" t="str">
        <x:v>Confirmar evaluación de ingreso y extras personales.</x:v>
      </x:c>
      <x:c r="AB3" s="20" t="str">
        <x:v>pending</x:v>
      </x:c>
    </x:row>
    <x:row r="4" ht="58" customHeight="1">
      <x:c r="A4" s="20" t="str">
        <x:v>BASE-003</x:v>
      </x:c>
      <x:c r="B4" s="20" t="str">
        <x:v>FAC-LEGACY-MSP24-128-0077C3F2BA4412D2</x:v>
      </x:c>
      <x:c r="C4" s="20" t="str">
        <x:v>Saniguet</x:v>
      </x:c>
      <x:c r="D4" s="20" t="str">
        <x:v>Montevideo</x:v>
      </x:c>
      <x:c r="E4" s="20" t="str">
        <x:v>Montevideo</x:v>
      </x:c>
      <x:c r="F4" s="20" t="str">
        <x:v>Av. Millán 3260</x:v>
      </x:c>
      <x:c r="G4" s="30" t="b">
        <x:v>1</x:v>
      </x:c>
      <x:c r="H4" s="20" t="str">
        <x:v>commercial_tariff</x:v>
      </x:c>
      <x:c r="I4" s="20" t="str">
        <x:v>price_range</x:v>
      </x:c>
      <x:c r="J4" s="20" t="str">
        <x:v>Habitación cuádruple</x:v>
      </x:c>
      <x:c r="K4" s="20" t="str">
        <x:v>UYU</x:v>
      </x:c>
      <x:c r="L4" s="34" t="n">
        <x:v>60000</x:v>
      </x:c>
      <x:c r="M4" s="34" t="n">
        <x:v>80000</x:v>
      </x:c>
      <x:c r="N4" s="36" t="n">
        <x:v>1</x:v>
      </x:c>
      <x:c r="O4" s="34" t="n">
        <x:v>60000</x:v>
      </x:c>
      <x:c r="P4" s="34" t="n">
        <x:v>80000</x:v>
      </x:c>
      <x:c r="Q4" s="20" t="str">
        <x:v>2025-06-12</x:v>
      </x:c>
      <x:c r="R4" s="20" t="n">
        <x:v>2025</x:v>
      </x:c>
      <x:c r="S4" s="20" t="str">
        <x:v>Vitalence</x:v>
      </x:c>
      <x:c r="T4" s="20" t="str">
        <x:v>https://app.vitalencecare.com/VitalenceJavaEnvironment/servlet/com.vitalence.buscarcuartos</x:v>
      </x:c>
      <x:c r="U4" s="20" t="str">
        <x:v>Entre 60 y 80 mil UY.</x:v>
      </x:c>
      <x:c r="V4" s="20" t="str">
        <x:v>No especificado en la publicación de disponibilidad.</x:v>
      </x:c>
      <x:c r="W4" s="20" t="str">
        <x:v>Publicado en 2025; confirmar</x:v>
      </x:c>
      <x:c r="X4" s="20" t="str">
        <x:v>high</x:v>
      </x:c>
      <x:c r="Y4" s="20" t="str">
        <x:v>high</x:v>
      </x:c>
      <x:c r="Z4" s="20" t="str">
        <x:v>publish_public_price_dated</x:v>
      </x:c>
      <x:c r="AA4" s="20" t="str">
        <x:v>La disponibilidad puede haber cambiado.</x:v>
      </x:c>
      <x:c r="AB4" s="20" t="str">
        <x:v>pending</x:v>
      </x:c>
    </x:row>
    <x:row r="5" ht="58" customHeight="1">
      <x:c r="A5" s="20" t="str">
        <x:v>BASE-004</x:v>
      </x:c>
      <x:c r="B5" s="20" t="str">
        <x:v>FAC-LEGACY-MSP24-061-31302148B63DA6AC</x:v>
      </x:c>
      <x:c r="C5" s="20" t="str">
        <x:v>Altos del Parque 1</x:v>
      </x:c>
      <x:c r="D5" s="20" t="str">
        <x:v>Montevideo</x:v>
      </x:c>
      <x:c r="E5" s="20" t="str">
        <x:v>Montevideo</x:v>
      </x:c>
      <x:c r="F5" s="20" t="str">
        <x:v>Américo Ricaldoni 1748</x:v>
      </x:c>
      <x:c r="G5" s="30" t="b">
        <x:v>1</x:v>
      </x:c>
      <x:c r="H5" s="20" t="str">
        <x:v>commercial_tariff</x:v>
      </x:c>
      <x:c r="I5" s="20" t="str">
        <x:v>price_range</x:v>
      </x:c>
      <x:c r="J5" s="20" t="str">
        <x:v>Habitación individual</x:v>
      </x:c>
      <x:c r="K5" s="20" t="str">
        <x:v>UYU</x:v>
      </x:c>
      <x:c r="L5" s="34" t="n">
        <x:v>100000</x:v>
      </x:c>
      <x:c r="M5" s="34" t="n">
        <x:v>120000</x:v>
      </x:c>
      <x:c r="N5" s="36" t="n">
        <x:v>1</x:v>
      </x:c>
      <x:c r="O5" s="34" t="n">
        <x:v>100000</x:v>
      </x:c>
      <x:c r="P5" s="34" t="n">
        <x:v>120000</x:v>
      </x:c>
      <x:c r="Q5" s="20" t="str">
        <x:v>2025-04-01</x:v>
      </x:c>
      <x:c r="R5" s="20" t="n">
        <x:v>2025</x:v>
      </x:c>
      <x:c r="S5" s="20" t="str">
        <x:v>Vitalence</x:v>
      </x:c>
      <x:c r="T5" s="20" t="str">
        <x:v>https://app.vitalencecare.com/VitalenceJavaEnvironment/servlet/com.vitalence.buscarcuartos</x:v>
      </x:c>
      <x:c r="U5" s="20" t="str">
        <x:v>Entre 100 y 120 mil.</x:v>
      </x:c>
      <x:c r="V5" s="20" t="str">
        <x:v>No especificado en la publicación de disponibilidad.</x:v>
      </x:c>
      <x:c r="W5" s="20" t="str">
        <x:v>Publicado en 2025; confirmar</x:v>
      </x:c>
      <x:c r="X5" s="20" t="str">
        <x:v>high</x:v>
      </x:c>
      <x:c r="Y5" s="20" t="str">
        <x:v>medium</x:v>
      </x:c>
      <x:c r="Z5" s="20" t="str">
        <x:v>publish_public_price_dated</x:v>
      </x:c>
      <x:c r="AA5" s="20" t="str">
        <x:v>La sucursal 1 se concilió por nombre y padrón.</x:v>
      </x:c>
      <x:c r="AB5" s="20" t="str">
        <x:v>pending</x:v>
      </x:c>
    </x:row>
    <x:row r="6" ht="58" customHeight="1">
      <x:c r="A6" s="20" t="str">
        <x:v>BASE-005</x:v>
      </x:c>
      <x:c r="B6" s="20" t="str">
        <x:v>FAC-LEGACY-MSP24-161-7F284E6E017823E0</x:v>
      </x:c>
      <x:c r="C6" s="20" t="str">
        <x:v>Altos del Parque 2</x:v>
      </x:c>
      <x:c r="D6" s="20" t="str">
        <x:v>Montevideo</x:v>
      </x:c>
      <x:c r="E6" s="20" t="str">
        <x:v>Montevideo</x:v>
      </x:c>
      <x:c r="F6" s="20" t="str">
        <x:v>Américo Ricaldoni 1716</x:v>
      </x:c>
      <x:c r="G6" s="30" t="b">
        <x:v>1</x:v>
      </x:c>
      <x:c r="H6" s="20" t="str">
        <x:v>commercial_tariff</x:v>
      </x:c>
      <x:c r="I6" s="20" t="str">
        <x:v>exact_amount</x:v>
      </x:c>
      <x:c r="J6" s="20" t="str">
        <x:v>Habitación doble</x:v>
      </x:c>
      <x:c r="K6" s="20" t="str">
        <x:v>UYU</x:v>
      </x:c>
      <x:c r="L6" s="34" t="n">
        <x:v>100000</x:v>
      </x:c>
      <x:c r="M6" s="34" t="n">
        <x:v>100000</x:v>
      </x:c>
      <x:c r="N6" s="36" t="n">
        <x:v>1</x:v>
      </x:c>
      <x:c r="O6" s="34" t="n">
        <x:v>100000</x:v>
      </x:c>
      <x:c r="P6" s="34" t="n">
        <x:v>100000</x:v>
      </x:c>
      <x:c r="Q6" s="20" t="str">
        <x:v>2025-06-13</x:v>
      </x:c>
      <x:c r="R6" s="20" t="n">
        <x:v>2025</x:v>
      </x:c>
      <x:c r="S6" s="20" t="str">
        <x:v>Vitalence</x:v>
      </x:c>
      <x:c r="T6" s="20" t="str">
        <x:v>https://app.vitalencecare.com/VitalenceJavaEnvironment/servlet/com.vitalence.buscarcuartos</x:v>
      </x:c>
      <x:c r="U6" s="20" t="str">
        <x:v>100.000 UY.</x:v>
      </x:c>
      <x:c r="V6" s="20" t="str">
        <x:v>No especificado en la publicación de disponibilidad.</x:v>
      </x:c>
      <x:c r="W6" s="20" t="str">
        <x:v>Publicado en 2025; confirmar</x:v>
      </x:c>
      <x:c r="X6" s="20" t="str">
        <x:v>high</x:v>
      </x:c>
      <x:c r="Y6" s="20" t="str">
        <x:v>medium</x:v>
      </x:c>
      <x:c r="Z6" s="20" t="str">
        <x:v>publish_public_price_dated</x:v>
      </x:c>
      <x:c r="AA6" s="20" t="str">
        <x:v>La sucursal 2 se concilió por nombre y padrón.</x:v>
      </x:c>
      <x:c r="AB6" s="20" t="str">
        <x:v>pending</x:v>
      </x:c>
    </x:row>
    <x:row r="7" ht="58" customHeight="1">
      <x:c r="A7" s="20" t="str">
        <x:v>BASE-006</x:v>
      </x:c>
      <x:c r="B7" s="20" t="str">
        <x:v>FAC-LEGACY-MSP24-038-EF27E2634E365AAF</x:v>
      </x:c>
      <x:c r="C7" s="20" t="str">
        <x:v>Altos del Centro</x:v>
      </x:c>
      <x:c r="D7" s="20" t="str">
        <x:v>Montevideo</x:v>
      </x:c>
      <x:c r="E7" s="20" t="str">
        <x:v>Montevideo</x:v>
      </x:c>
      <x:c r="F7" s="20" t="str">
        <x:v>Yi 1363</x:v>
      </x:c>
      <x:c r="G7" s="30" t="b">
        <x:v>1</x:v>
      </x:c>
      <x:c r="H7" s="20" t="str">
        <x:v>commercial_tariff</x:v>
      </x:c>
      <x:c r="I7" s="20" t="str">
        <x:v>price_from</x:v>
      </x:c>
      <x:c r="J7" s="20" t="str">
        <x:v>Desde; modalidad no precisada</x:v>
      </x:c>
      <x:c r="K7" s="20" t="str">
        <x:v>UYU</x:v>
      </x:c>
      <x:c r="L7" s="34" t="n">
        <x:v>50000</x:v>
      </x:c>
      <x:c r="M7" s="34"/>
      <x:c r="N7" s="36" t="n">
        <x:v>1</x:v>
      </x:c>
      <x:c r="O7" s="34" t="n">
        <x:v>50000</x:v>
      </x:c>
      <x:c r="P7" s="34"/>
      <x:c r="Q7" s="20" t="str">
        <x:v>Sin fecha visible</x:v>
      </x:c>
      <x:c r="R7" s="20"/>
      <x:c r="S7" s="20" t="str">
        <x:v>Red de Residenciales</x:v>
      </x:c>
      <x:c r="T7" s="20" t="str">
        <x:v>https://www.redresidenciales.uy/residencial_hotel/residencial-en-centro/</x:v>
      </x:c>
      <x:c r="U7" s="20" t="str">
        <x:v>Desde $50.000.</x:v>
      </x:c>
      <x:c r="V7" s="20" t="str">
        <x:v>Habitaciones individuales y compartidas; servicios y actividades descritos en el directorio.</x:v>
      </x:c>
      <x:c r="W7" s="20" t="str">
        <x:v>Sin fecha; vigencia no verificada</x:v>
      </x:c>
      <x:c r="X7" s="20" t="str">
        <x:v>medium</x:v>
      </x:c>
      <x:c r="Y7" s="20" t="str">
        <x:v>high</x:v>
      </x:c>
      <x:c r="Z7" s="20" t="str">
        <x:v>publish_public_price_undated_confirm</x:v>
      </x:c>
      <x:c r="AA7" s="20" t="str">
        <x:v>El directorio no muestra fecha de actualización.</x:v>
      </x:c>
      <x:c r="AB7" s="20" t="str">
        <x:v>pending</x:v>
      </x:c>
    </x:row>
    <x:row r="8" ht="58" customHeight="1">
      <x:c r="A8" s="20" t="str">
        <x:v>BASE-007</x:v>
      </x:c>
      <x:c r="B8" s="20" t="str">
        <x:v>FAC-LEGACY-MSP24-041-25544A83B648E4BA</x:v>
      </x:c>
      <x:c r="C8" s="20" t="str">
        <x:v>Santa Bernardita</x:v>
      </x:c>
      <x:c r="D8" s="20" t="str">
        <x:v>Montevideo</x:v>
      </x:c>
      <x:c r="E8" s="20" t="str">
        <x:v>Montevideo</x:v>
      </x:c>
      <x:c r="F8" s="20" t="str">
        <x:v>19 de Abril 1140</x:v>
      </x:c>
      <x:c r="G8" s="30" t="b">
        <x:v>1</x:v>
      </x:c>
      <x:c r="H8" s="20" t="str">
        <x:v>commercial_tariff</x:v>
      </x:c>
      <x:c r="I8" s="20" t="str">
        <x:v>price_from</x:v>
      </x:c>
      <x:c r="J8" s="20" t="str">
        <x:v>Desde; habitación privada con baño compartido</x:v>
      </x:c>
      <x:c r="K8" s="20" t="str">
        <x:v>UYU</x:v>
      </x:c>
      <x:c r="L8" s="34" t="n">
        <x:v>55000</x:v>
      </x:c>
      <x:c r="M8" s="34"/>
      <x:c r="N8" s="36" t="n">
        <x:v>1</x:v>
      </x:c>
      <x:c r="O8" s="34" t="n">
        <x:v>55000</x:v>
      </x:c>
      <x:c r="P8" s="34"/>
      <x:c r="Q8" s="20" t="str">
        <x:v>Sin fecha visible</x:v>
      </x:c>
      <x:c r="R8" s="20"/>
      <x:c r="S8" s="20" t="str">
        <x:v>Red de Residenciales</x:v>
      </x:c>
      <x:c r="T8" s="20" t="str">
        <x:v>https://www.redresidenciales.uy/residencial_hotel/montevideo/prado/prado/santa-bernardita-0/</x:v>
      </x:c>
      <x:c r="U8" s="20" t="str">
        <x:v>Desde $55.000.</x:v>
      </x:c>
      <x:c r="V8" s="20" t="str">
        <x:v>Cuatro comidas, lavadero, peluquería y manicura; otros servicios descritos en el directorio.</x:v>
      </x:c>
      <x:c r="W8" s="20" t="str">
        <x:v>Sin fecha; vigencia no verificada</x:v>
      </x:c>
      <x:c r="X8" s="20" t="str">
        <x:v>medium</x:v>
      </x:c>
      <x:c r="Y8" s="20" t="str">
        <x:v>high</x:v>
      </x:c>
      <x:c r="Z8" s="20" t="str">
        <x:v>publish_public_price_undated_confirm</x:v>
      </x:c>
      <x:c r="AA8" s="20" t="str">
        <x:v>El directorio no muestra fecha de actualización.</x:v>
      </x:c>
      <x:c r="AB8" s="20" t="str">
        <x:v>pending</x:v>
      </x:c>
    </x:row>
    <x:row r="9" ht="58" customHeight="1">
      <x:c r="A9" s="20" t="str">
        <x:v>BASE-008</x:v>
      </x:c>
      <x:c r="B9" s="20" t="str">
        <x:v>FAC-LEGACY-MSP24-043-F296BAA525093376</x:v>
      </x:c>
      <x:c r="C9" s="20" t="str">
        <x:v>Aguas de Reposo</x:v>
      </x:c>
      <x:c r="D9" s="20" t="str">
        <x:v>Montevideo</x:v>
      </x:c>
      <x:c r="E9" s="20" t="str">
        <x:v>Montevideo</x:v>
      </x:c>
      <x:c r="F9" s="20" t="str">
        <x:v>Avenida Italia 6527</x:v>
      </x:c>
      <x:c r="G9" s="30" t="b">
        <x:v>1</x:v>
      </x:c>
      <x:c r="H9" s="20" t="str">
        <x:v>commercial_tariff</x:v>
      </x:c>
      <x:c r="I9" s="20" t="str">
        <x:v>price_from</x:v>
      </x:c>
      <x:c r="J9" s="20" t="str">
        <x:v>Desde; modalidad no precisada</x:v>
      </x:c>
      <x:c r="K9" s="20" t="str">
        <x:v>UYU</x:v>
      </x:c>
      <x:c r="L9" s="34" t="n">
        <x:v>38000</x:v>
      </x:c>
      <x:c r="M9" s="34"/>
      <x:c r="N9" s="36" t="n">
        <x:v>1</x:v>
      </x:c>
      <x:c r="O9" s="34" t="n">
        <x:v>38000</x:v>
      </x:c>
      <x:c r="P9" s="34"/>
      <x:c r="Q9" s="20" t="str">
        <x:v>Sin fecha visible</x:v>
      </x:c>
      <x:c r="R9" s="20"/>
      <x:c r="S9" s="20" t="str">
        <x:v>Red de Residenciales</x:v>
      </x:c>
      <x:c r="T9" s="20" t="str">
        <x:v>https://www.redresidenciales.uy/residencial_hotel/montevideo/carrasco/carrasco/residencial-aguas-de-reposo/</x:v>
      </x:c>
      <x:c r="U9" s="20" t="str">
        <x:v>Desde $38.000.</x:v>
      </x:c>
      <x:c r="V9" s="20" t="str">
        <x:v>Alimentación, enfermería, fisioterapia y actividades descritas en el directorio.</x:v>
      </x:c>
      <x:c r="W9" s="20" t="str">
        <x:v>Sin fecha; vigencia no verificada</x:v>
      </x:c>
      <x:c r="X9" s="20" t="str">
        <x:v>medium</x:v>
      </x:c>
      <x:c r="Y9" s="20" t="str">
        <x:v>high</x:v>
      </x:c>
      <x:c r="Z9" s="20" t="str">
        <x:v>publish_public_price_undated_confirm</x:v>
      </x:c>
      <x:c r="AA9" s="20" t="str">
        <x:v>Muy por debajo de referencias sectoriales de 2025; probablemente antiguo.</x:v>
      </x:c>
      <x:c r="AB9" s="20" t="str">
        <x:v>pending</x:v>
      </x:c>
    </x:row>
    <x:row r="10" ht="58" customHeight="1">
      <x:c r="A10" s="20" t="str">
        <x:v>BASE-009</x:v>
      </x:c>
      <x:c r="B10" s="20" t="str">
        <x:v>FAC-LEGACY-MSP24-011-690FB5E8DE8BD869</x:v>
      </x:c>
      <x:c r="C10" s="20" t="str">
        <x:v>Manas Home / MH Residencial</x:v>
      </x:c>
      <x:c r="D10" s="20" t="str">
        <x:v>Montevideo</x:v>
      </x:c>
      <x:c r="E10" s="20" t="str">
        <x:v>Montevideo</x:v>
      </x:c>
      <x:c r="F10" s="20" t="str">
        <x:v>Millington Drake 1993</x:v>
      </x:c>
      <x:c r="G10" s="30" t="b">
        <x:v>1</x:v>
      </x:c>
      <x:c r="H10" s="20" t="str">
        <x:v>commercial_tariff</x:v>
      </x:c>
      <x:c r="I10" s="20" t="str">
        <x:v>price_from</x:v>
      </x:c>
      <x:c r="J10" s="20" t="str">
        <x:v>Desde; habitaciones individuales y compartidas</x:v>
      </x:c>
      <x:c r="K10" s="20" t="str">
        <x:v>UYU</x:v>
      </x:c>
      <x:c r="L10" s="34" t="n">
        <x:v>65000</x:v>
      </x:c>
      <x:c r="M10" s="34"/>
      <x:c r="N10" s="36" t="n">
        <x:v>1</x:v>
      </x:c>
      <x:c r="O10" s="34" t="n">
        <x:v>65000</x:v>
      </x:c>
      <x:c r="P10" s="34"/>
      <x:c r="Q10" s="20" t="str">
        <x:v>Sin fecha visible</x:v>
      </x:c>
      <x:c r="R10" s="20"/>
      <x:c r="S10" s="20" t="str">
        <x:v>Red de Residenciales</x:v>
      </x:c>
      <x:c r="T10" s="20" t="str">
        <x:v>https://www.redresidenciales.uy/residencial_hotel/carrasco/residencial-manas-casa-asistida/</x:v>
      </x:c>
      <x:c r="U10" s="20" t="str">
        <x:v>Desde $65.000.</x:v>
      </x:c>
      <x:c r="V10" s="20" t="str">
        <x:v>Atención médica, actividades, alimentación, enfermería y otros servicios descritos.</x:v>
      </x:c>
      <x:c r="W10" s="20" t="str">
        <x:v>Sin fecha; vigencia no verificada</x:v>
      </x:c>
      <x:c r="X10" s="20" t="str">
        <x:v>medium</x:v>
      </x:c>
      <x:c r="Y10" s="20" t="str">
        <x:v>high</x:v>
      </x:c>
      <x:c r="Z10" s="20" t="str">
        <x:v>publish_public_price_undated_confirm</x:v>
      </x:c>
      <x:c r="AA10" s="20" t="str">
        <x:v>La ficha pública usa el nombre MH Residencial.</x:v>
      </x:c>
      <x:c r="AB10" s="20" t="str">
        <x:v>pending</x:v>
      </x:c>
    </x:row>
    <x:row r="11" ht="58" customHeight="1">
      <x:c r="A11" s="20" t="str">
        <x:v>BASE-010</x:v>
      </x:c>
      <x:c r="B11" s="20" t="str">
        <x:v>FAC-LEGACY-ELP-0092-659F60900D60E0E8</x:v>
      </x:c>
      <x:c r="C11" s="20" t="str">
        <x:v>Senescentis II</x:v>
      </x:c>
      <x:c r="D11" s="20" t="str">
        <x:v>Canelones</x:v>
      </x:c>
      <x:c r="E11" s="20" t="str">
        <x:v>El Pinar</x:v>
      </x:c>
      <x:c r="F11" s="20" t="str">
        <x:v>Av. Pérez Butler M257 S2</x:v>
      </x:c>
      <x:c r="G11" s="30" t="b">
        <x:v>1</x:v>
      </x:c>
      <x:c r="H11" s="20" t="str">
        <x:v>commercial_tariff</x:v>
      </x:c>
      <x:c r="I11" s="20" t="str">
        <x:v>exact_amount</x:v>
      </x:c>
      <x:c r="J11" s="20" t="str">
        <x:v>Modalidad no precisada</x:v>
      </x:c>
      <x:c r="K11" s="20" t="str">
        <x:v>UYU_INFERRED</x:v>
      </x:c>
      <x:c r="L11" s="34" t="n">
        <x:v>42500</x:v>
      </x:c>
      <x:c r="M11" s="34" t="n">
        <x:v>42500</x:v>
      </x:c>
      <x:c r="N11" s="36" t="n">
        <x:v>1</x:v>
      </x:c>
      <x:c r="O11" s="34" t="n">
        <x:v>42500</x:v>
      </x:c>
      <x:c r="P11" s="34" t="n">
        <x:v>42500</x:v>
      </x:c>
      <x:c r="Q11" s="20" t="str">
        <x:v>Sin fecha visible</x:v>
      </x:c>
      <x:c r="R11" s="20"/>
      <x:c r="S11" s="20" t="str">
        <x:v>Red de Residenciales</x:v>
      </x:c>
      <x:c r="T11" s="20" t="str">
        <x:v>https://www.redresidenciales.uy/residencial-hotel/canelones/ciudad-de-la-costa/senescentis-residencial/</x:v>
      </x:c>
      <x:c r="U11" s="20" t="str">
        <x:v>42500.</x:v>
      </x:c>
      <x:c r="V11" s="20" t="str">
        <x:v>Equipo interdisciplinario, alimentación, enfermería, talleres y otros servicios descritos.</x:v>
      </x:c>
      <x:c r="W11" s="20" t="str">
        <x:v>Sin fecha; vigencia no verificada</x:v>
      </x:c>
      <x:c r="X11" s="20" t="str">
        <x:v>low</x:v>
      </x:c>
      <x:c r="Y11" s="20" t="str">
        <x:v>high</x:v>
      </x:c>
      <x:c r="Z11" s="20" t="str">
        <x:v>publish_public_price_undated_confirm</x:v>
      </x:c>
      <x:c r="AA11" s="20" t="str">
        <x:v>La página omite símbolo y moneda; UYU se infiere por contexto.</x:v>
      </x:c>
      <x:c r="AB11" s="20" t="str">
        <x:v>pending</x:v>
      </x:c>
    </x:row>
    <x:row r="12" ht="58" customHeight="1">
      <x:c r="A12" s="20" t="str">
        <x:v>BASE-011</x:v>
      </x:c>
      <x:c r="B12" s="20" t="str">
        <x:v>FAC-CANDIDATE-141</x:v>
      </x:c>
      <x:c r="C12" s="20" t="str">
        <x:v>Residencial Pontevedra</x:v>
      </x:c>
      <x:c r="D12" s="20" t="str">
        <x:v>Montevideo</x:v>
      </x:c>
      <x:c r="E12" s="20" t="str">
        <x:v>Montevideo</x:v>
      </x:c>
      <x:c r="F12" s="20" t="str">
        <x:v>Blandengues 1915</x:v>
      </x:c>
      <x:c r="G12" s="30" t="b">
        <x:v>1</x:v>
      </x:c>
      <x:c r="H12" s="20" t="str">
        <x:v>commercial_tariff</x:v>
      </x:c>
      <x:c r="I12" s="20" t="str">
        <x:v>exact_amount</x:v>
      </x:c>
      <x:c r="J12" s="20" t="str">
        <x:v>Modalidad no precisada</x:v>
      </x:c>
      <x:c r="K12" s="20" t="str">
        <x:v>UYU_INFERRED</x:v>
      </x:c>
      <x:c r="L12" s="34" t="n">
        <x:v>29000</x:v>
      </x:c>
      <x:c r="M12" s="34" t="n">
        <x:v>29000</x:v>
      </x:c>
      <x:c r="N12" s="36" t="n">
        <x:v>1</x:v>
      </x:c>
      <x:c r="O12" s="34" t="n">
        <x:v>29000</x:v>
      </x:c>
      <x:c r="P12" s="34" t="n">
        <x:v>29000</x:v>
      </x:c>
      <x:c r="Q12" s="20" t="str">
        <x:v>Sin fecha visible</x:v>
      </x:c>
      <x:c r="R12" s="20"/>
      <x:c r="S12" s="20" t="str">
        <x:v>Red de Residenciales</x:v>
      </x:c>
      <x:c r="T12" s="20" t="str">
        <x:v>https://www.redresidenciales.uy/residencial-hotel/montevideo/reducto/residencial-pontevedra/</x:v>
      </x:c>
      <x:c r="U12" s="20" t="str">
        <x:v>29000.</x:v>
      </x:c>
      <x:c r="V12" s="20" t="str">
        <x:v>Atención médica, enfermería, alimentación, lavandería y talleres descritos.</x:v>
      </x:c>
      <x:c r="W12" s="20" t="str">
        <x:v>Sin fecha; vigencia no verificada</x:v>
      </x:c>
      <x:c r="X12" s="20" t="str">
        <x:v>low</x:v>
      </x:c>
      <x:c r="Y12" s="20" t="str">
        <x:v>high</x:v>
      </x:c>
      <x:c r="Z12" s="20" t="str">
        <x:v>publish_public_price_undated_confirm</x:v>
      </x:c>
      <x:c r="AA12" s="20" t="str">
        <x:v>La página omite símbolo y moneda; el valor parece histórico.</x:v>
      </x:c>
      <x:c r="AB12" s="20" t="str">
        <x:v>pending</x:v>
      </x:c>
    </x:row>
    <x:row r="13" ht="58" customHeight="1">
      <x:c r="A13" s="20" t="str">
        <x:v>BASE-012</x:v>
      </x:c>
      <x:c r="B13" s="20" t="str">
        <x:v>FAC-LEGACY-ELP-0048-2D20813D86F4F23D</x:v>
      </x:c>
      <x:c r="C13" s="20" t="str">
        <x:v>La Estancia Hotel Residencial</x:v>
      </x:c>
      <x:c r="D13" s="20" t="str">
        <x:v>Canelones</x:v>
      </x:c>
      <x:c r="E13" s="20" t="str">
        <x:v>Canelones</x:v>
      </x:c>
      <x:c r="F13" s="20" t="str">
        <x:v>María Stagnero de Munar esq. Camino Imperiale s/n</x:v>
      </x:c>
      <x:c r="G13" s="30" t="b">
        <x:v>1</x:v>
      </x:c>
      <x:c r="H13" s="20" t="str">
        <x:v>historical_tariff</x:v>
      </x:c>
      <x:c r="I13" s="20" t="str">
        <x:v>exact_amount</x:v>
      </x:c>
      <x:c r="J13" s="20" t="str">
        <x:v>Habitación compartida</x:v>
      </x:c>
      <x:c r="K13" s="20" t="str">
        <x:v>UYU</x:v>
      </x:c>
      <x:c r="L13" s="34" t="n">
        <x:v>75000</x:v>
      </x:c>
      <x:c r="M13" s="34" t="n">
        <x:v>75000</x:v>
      </x:c>
      <x:c r="N13" s="36" t="n">
        <x:v>1</x:v>
      </x:c>
      <x:c r="O13" s="34" t="n">
        <x:v>75000</x:v>
      </x:c>
      <x:c r="P13" s="34" t="n">
        <x:v>75000</x:v>
      </x:c>
      <x:c r="Q13" s="20" t="str">
        <x:v>2024-10</x:v>
      </x:c>
      <x:c r="R13" s="20" t="n">
        <x:v>2024</x:v>
      </x:c>
      <x:c r="S13" s="20" t="str">
        <x:v>Forbes Uruguay</x:v>
      </x:c>
      <x:c r="T13" s="20" t="str">
        <x:v>https://www.forbesuruguay.com/lifestyle/la-estancia-innovador-hotel-residencial-personas-mayores-n63389/amp</x:v>
      </x:c>
      <x:c r="U13" s="20" t="str">
        <x:v>Habitación compartida: $75.000.</x:v>
      </x:c>
      <x:c r="V13" s="20" t="str">
        <x:v>Referencia periodística de 2024.</x:v>
      </x:c>
      <x:c r="W13" s="20" t="str">
        <x:v>Histórico; sustituido por precio publicado en 2026</x:v>
      </x:c>
      <x:c r="X13" s="20" t="str">
        <x:v>high</x:v>
      </x:c>
      <x:c r="Y13" s="20" t="str">
        <x:v>high</x:v>
      </x:c>
      <x:c r="Z13" s="20" t="str">
        <x:v>historical_context_only</x:v>
      </x:c>
      <x:c r="AA13" s="20" t="str">
        <x:v>No usar como tarifa actual.</x:v>
      </x:c>
      <x:c r="AB13" s="20" t="str">
        <x:v>pending</x:v>
      </x:c>
    </x:row>
    <x:row r="14" ht="58" customHeight="1">
      <x:c r="A14" s="20" t="str">
        <x:v>BASE-013</x:v>
      </x:c>
      <x:c r="B14" s="20" t="str">
        <x:v>FAC-LEGACY-ELP-0048-2D20813D86F4F23D</x:v>
      </x:c>
      <x:c r="C14" s="20" t="str">
        <x:v>La Estancia Hotel Residencial</x:v>
      </x:c>
      <x:c r="D14" s="20" t="str">
        <x:v>Canelones</x:v>
      </x:c>
      <x:c r="E14" s="20" t="str">
        <x:v>Canelones</x:v>
      </x:c>
      <x:c r="F14" s="20" t="str">
        <x:v>María Stagnero de Munar esq. Camino Imperiale s/n</x:v>
      </x:c>
      <x:c r="G14" s="30" t="b">
        <x:v>1</x:v>
      </x:c>
      <x:c r="H14" s="20" t="str">
        <x:v>historical_tariff</x:v>
      </x:c>
      <x:c r="I14" s="20" t="str">
        <x:v>exact_amount</x:v>
      </x:c>
      <x:c r="J14" s="20" t="str">
        <x:v>Habitación individual</x:v>
      </x:c>
      <x:c r="K14" s="20" t="str">
        <x:v>UYU</x:v>
      </x:c>
      <x:c r="L14" s="34" t="n">
        <x:v>100000</x:v>
      </x:c>
      <x:c r="M14" s="34" t="n">
        <x:v>100000</x:v>
      </x:c>
      <x:c r="N14" s="36" t="n">
        <x:v>1</x:v>
      </x:c>
      <x:c r="O14" s="34" t="n">
        <x:v>100000</x:v>
      </x:c>
      <x:c r="P14" s="34" t="n">
        <x:v>100000</x:v>
      </x:c>
      <x:c r="Q14" s="20" t="str">
        <x:v>2024-10</x:v>
      </x:c>
      <x:c r="R14" s="20" t="n">
        <x:v>2024</x:v>
      </x:c>
      <x:c r="S14" s="20" t="str">
        <x:v>Forbes Uruguay</x:v>
      </x:c>
      <x:c r="T14" s="20" t="str">
        <x:v>https://www.forbesuruguay.com/lifestyle/la-estancia-innovador-hotel-residencial-personas-mayores-n63389/amp</x:v>
      </x:c>
      <x:c r="U14" s="20" t="str">
        <x:v>Habitación individual: alrededor de $100.000.</x:v>
      </x:c>
      <x:c r="V14" s="20" t="str">
        <x:v>Referencia periodística de 2024.</x:v>
      </x:c>
      <x:c r="W14" s="20" t="str">
        <x:v>Histórico; sustituido por precio publicado en 2026</x:v>
      </x:c>
      <x:c r="X14" s="20" t="str">
        <x:v>high</x:v>
      </x:c>
      <x:c r="Y14" s="20" t="str">
        <x:v>high</x:v>
      </x:c>
      <x:c r="Z14" s="20" t="str">
        <x:v>historical_context_only</x:v>
      </x:c>
      <x:c r="AA14" s="20" t="str">
        <x:v>No usar como tarifa actual.</x:v>
      </x:c>
      <x:c r="AB14" s="20" t="str">
        <x:v>pending</x:v>
      </x:c>
    </x:row>
    <x:row r="15" ht="58" customHeight="1">
      <x:c r="A15" s="20" t="str">
        <x:v>BASE-014</x:v>
      </x:c>
      <x:c r="B15" s="20" t="str">
        <x:v>FAC-LEGACY-ELP-0225-1E6FEE63E2AC3E6B</x:v>
      </x:c>
      <x:c r="C15" s="20" t="str">
        <x:v>La Candelaria</x:v>
      </x:c>
      <x:c r="D15" s="20" t="str">
        <x:v>Maldonado</x:v>
      </x:c>
      <x:c r="E15" s="20" t="str">
        <x:v>Punta del Este</x:v>
      </x:c>
      <x:c r="F15" s="20" t="str">
        <x:v>Martiniano Chiossi y Fort Wayne</x:v>
      </x:c>
      <x:c r="G15" s="30" t="b">
        <x:v>1</x:v>
      </x:c>
      <x:c r="H15" s="20" t="str">
        <x:v>historical_tariff</x:v>
      </x:c>
      <x:c r="I15" s="20" t="str">
        <x:v>price_range</x:v>
      </x:c>
      <x:c r="J15" s="20" t="str">
        <x:v>Según habitación compartida o individual</x:v>
      </x:c>
      <x:c r="K15" s="20" t="str">
        <x:v>UYU</x:v>
      </x:c>
      <x:c r="L15" s="34" t="n">
        <x:v>80000</x:v>
      </x:c>
      <x:c r="M15" s="34" t="n">
        <x:v>120000</x:v>
      </x:c>
      <x:c r="N15" s="36" t="n">
        <x:v>1</x:v>
      </x:c>
      <x:c r="O15" s="34" t="n">
        <x:v>80000</x:v>
      </x:c>
      <x:c r="P15" s="34" t="n">
        <x:v>120000</x:v>
      </x:c>
      <x:c r="Q15" s="20" t="str">
        <x:v>2020-11-16</x:v>
      </x:c>
      <x:c r="R15" s="20" t="n">
        <x:v>2020</x:v>
      </x:c>
      <x:c r="S15" s="20" t="str">
        <x:v>InfoNegocios</x:v>
      </x:c>
      <x:c r="T15" s="20" t="str">
        <x:v>https://infonegocios.biz/nota-principal/en-la-mansa-se-agita-la-candelaria-un-residencial-para-potenciar-el-tiempo-de-familia</x:v>
      </x:c>
      <x:c r="U15" s="20" t="str">
        <x:v>Rango publicado de $80.000 a $120.000.</x:v>
      </x:c>
      <x:c r="V15" s="20" t="str">
        <x:v>No detallado de forma completa.</x:v>
      </x:c>
      <x:c r="W15" s="20" t="str">
        <x:v>Histórico; no usar como tarifa actual</x:v>
      </x:c>
      <x:c r="X15" s="20" t="str">
        <x:v>high</x:v>
      </x:c>
      <x:c r="Y15" s="20" t="str">
        <x:v>high</x:v>
      </x:c>
      <x:c r="Z15" s="20" t="str">
        <x:v>historical_context_only</x:v>
      </x:c>
      <x:c r="AA15" s="20" t="str">
        <x:v>Referencia de 2020.</x:v>
      </x:c>
      <x:c r="AB15" s="20" t="str">
        <x:v>pending</x:v>
      </x:c>
    </x:row>
    <x:row r="16" ht="58" customHeight="1">
      <x:c r="A16" s="20" t="str">
        <x:v>BASE-015</x:v>
      </x:c>
      <x:c r="B16" s="20" t="str">
        <x:v>FAC-CANDIDATE-171</x:v>
      </x:c>
      <x:c r="C16" s="20" t="str">
        <x:v>Álamos Montevideo</x:v>
      </x:c>
      <x:c r="D16" s="20" t="str">
        <x:v>Montevideo</x:v>
      </x:c>
      <x:c r="E16" s="20" t="str">
        <x:v>Montevideo</x:v>
      </x:c>
      <x:c r="F16" s="20" t="str">
        <x:v>Ibiray 2398</x:v>
      </x:c>
      <x:c r="G16" s="30" t="b">
        <x:v>1</x:v>
      </x:c>
      <x:c r="H16" s="20" t="str">
        <x:v>historical_tariff</x:v>
      </x:c>
      <x:c r="I16" s="20" t="str">
        <x:v>price_from</x:v>
      </x:c>
      <x:c r="J16" s="20" t="str">
        <x:v>Desde</x:v>
      </x:c>
      <x:c r="K16" s="20" t="str">
        <x:v>UYU</x:v>
      </x:c>
      <x:c r="L16" s="34" t="n">
        <x:v>95000</x:v>
      </x:c>
      <x:c r="M16" s="34"/>
      <x:c r="N16" s="36" t="n">
        <x:v>1</x:v>
      </x:c>
      <x:c r="O16" s="34" t="n">
        <x:v>95000</x:v>
      </x:c>
      <x:c r="P16" s="34"/>
      <x:c r="Q16" s="20" t="str">
        <x:v>2020-05-20</x:v>
      </x:c>
      <x:c r="R16" s="20" t="n">
        <x:v>2020</x:v>
      </x:c>
      <x:c r="S16" s="20" t="str">
        <x:v>InfoNegocios</x:v>
      </x:c>
      <x:c r="T16" s="20" t="str">
        <x:v>https://infonegocios.biz/enfoque/llega-el-nuevo-residencial-alamos-un-centro-de-primer-nivel-para-adultos-mayores</x:v>
      </x:c>
      <x:c r="U16" s="20" t="str">
        <x:v>Desde $95.000 por mes.</x:v>
      </x:c>
      <x:c r="V16" s="20" t="str">
        <x:v>No detallado de forma completa.</x:v>
      </x:c>
      <x:c r="W16" s="20" t="str">
        <x:v>Histórico; no usar como tarifa actual</x:v>
      </x:c>
      <x:c r="X16" s="20" t="str">
        <x:v>high</x:v>
      </x:c>
      <x:c r="Y16" s="20" t="str">
        <x:v>high</x:v>
      </x:c>
      <x:c r="Z16" s="20" t="str">
        <x:v>historical_context_only</x:v>
      </x:c>
      <x:c r="AA16" s="20" t="str">
        <x:v>Referencia de lanzamiento de 2020.</x:v>
      </x:c>
      <x:c r="AB16" s="20" t="str">
        <x:v>pending</x:v>
      </x:c>
    </x:row>
    <x:row r="17" ht="58" customHeight="1">
      <x:c r="A17" s="20" t="str">
        <x:v>BASE-016</x:v>
      </x:c>
      <x:c r="B17" s="20" t="str">
        <x:v>FAC-LEGACY-ELP-0350-1A44EC6E54F3F2D9</x:v>
      </x:c>
      <x:c r="C17" s="20" t="str">
        <x:v>Moirú</x:v>
      </x:c>
      <x:c r="D17" s="20" t="str">
        <x:v>Montevideo</x:v>
      </x:c>
      <x:c r="E17" s="20" t="str">
        <x:v>Montevideo</x:v>
      </x:c>
      <x:c r="F17" s="20" t="str">
        <x:v>Juan Carlos Blanco 3362</x:v>
      </x:c>
      <x:c r="G17" s="30" t="b">
        <x:v>1</x:v>
      </x:c>
      <x:c r="H17" s="20" t="str">
        <x:v>historical_tariff</x:v>
      </x:c>
      <x:c r="I17" s="20" t="str">
        <x:v>price_range</x:v>
      </x:c>
      <x:c r="J17" s="20" t="str">
        <x:v>Según modalidad y necesidades</x:v>
      </x:c>
      <x:c r="K17" s="20" t="str">
        <x:v>UYU</x:v>
      </x:c>
      <x:c r="L17" s="34" t="n">
        <x:v>45000</x:v>
      </x:c>
      <x:c r="M17" s="34" t="n">
        <x:v>75000</x:v>
      </x:c>
      <x:c r="N17" s="36" t="n">
        <x:v>1</x:v>
      </x:c>
      <x:c r="O17" s="34" t="n">
        <x:v>45000</x:v>
      </x:c>
      <x:c r="P17" s="34" t="n">
        <x:v>75000</x:v>
      </x:c>
      <x:c r="Q17" s="20" t="str">
        <x:v>2021-12-24</x:v>
      </x:c>
      <x:c r="R17" s="20" t="n">
        <x:v>2021</x:v>
      </x:c>
      <x:c r="S17" s="20" t="str">
        <x:v>InfoNegocios</x:v>
      </x:c>
      <x:c r="T17" s="20" t="str">
        <x:v>https://infonegocios.biz/nota-principal/moiru-quiere-romper-el-paradigma-va-por-mas-locales</x:v>
      </x:c>
      <x:c r="U17" s="20" t="str">
        <x:v>Rango publicado de $45.000 a $75.000 mensuales.</x:v>
      </x:c>
      <x:c r="V17" s="20" t="str">
        <x:v>La nota indicaba todos los servicios incluidos.</x:v>
      </x:c>
      <x:c r="W17" s="20" t="str">
        <x:v>Histórico; no usar como tarifa actual</x:v>
      </x:c>
      <x:c r="X17" s="20" t="str">
        <x:v>high</x:v>
      </x:c>
      <x:c r="Y17" s="20" t="str">
        <x:v>high</x:v>
      </x:c>
      <x:c r="Z17" s="20" t="str">
        <x:v>historical_context_only</x:v>
      </x:c>
      <x:c r="AA17" s="20" t="str">
        <x:v>Referencia de 2021.</x:v>
      </x:c>
      <x:c r="AB17" s="20" t="str">
        <x:v>pending</x:v>
      </x:c>
    </x:row>
    <x:row r="18" ht="58" customHeight="1">
      <x:c r="A18" s="20" t="str">
        <x:v>BASE-017</x:v>
      </x:c>
      <x:c r="B18" s="20" t="str">
        <x:v>FAC-LEGACY-ELP-0606-F6306003DF5F90F8</x:v>
      </x:c>
      <x:c r="C18" s="20" t="str">
        <x:v>Humana Residencial</x:v>
      </x:c>
      <x:c r="D18" s="20" t="str">
        <x:v>Montevideo</x:v>
      </x:c>
      <x:c r="E18" s="20" t="str">
        <x:v>Montevideo</x:v>
      </x:c>
      <x:c r="F18" s="20" t="str">
        <x:v>Bv. España 2128</x:v>
      </x:c>
      <x:c r="G18" s="30" t="b">
        <x:v>1</x:v>
      </x:c>
      <x:c r="H18" s="20" t="str">
        <x:v>historical_tariff</x:v>
      </x:c>
      <x:c r="I18" s="20" t="str">
        <x:v>exact_amount</x:v>
      </x:c>
      <x:c r="J18" s="20" t="str">
        <x:v>Habitación individual</x:v>
      </x:c>
      <x:c r="K18" s="20" t="str">
        <x:v>UYU</x:v>
      </x:c>
      <x:c r="L18" s="34" t="n">
        <x:v>125000</x:v>
      </x:c>
      <x:c r="M18" s="34" t="n">
        <x:v>125000</x:v>
      </x:c>
      <x:c r="N18" s="36" t="n">
        <x:v>1</x:v>
      </x:c>
      <x:c r="O18" s="34" t="n">
        <x:v>125000</x:v>
      </x:c>
      <x:c r="P18" s="34" t="n">
        <x:v>125000</x:v>
      </x:c>
      <x:c r="Q18" s="20" t="str">
        <x:v>2019 aprox.</x:v>
      </x:c>
      <x:c r="R18" s="20" t="n">
        <x:v>2019</x:v>
      </x:c>
      <x:c r="S18" s="20" t="str">
        <x:v>InfoNegocios</x:v>
      </x:c>
      <x:c r="T18" s="20" t="str">
        <x:v>https://infonegocios.biz/un-dia-en/humana-con-su-directora-maria-methol</x:v>
      </x:c>
      <x:c r="U18" s="20" t="str">
        <x:v>Habitaciones individuales alrededor de $125.000 mensuales.</x:v>
      </x:c>
      <x:c r="V18" s="20" t="str">
        <x:v>Comidas, meriendas, actividades, lavandería, enfermería, aire acondicionado y agua caliente, según la nota.</x:v>
      </x:c>
      <x:c r="W18" s="20" t="str">
        <x:v>Histórico; no usar como tarifa actual</x:v>
      </x:c>
      <x:c r="X18" s="20" t="str">
        <x:v>medium</x:v>
      </x:c>
      <x:c r="Y18" s="20" t="str">
        <x:v>high</x:v>
      </x:c>
      <x:c r="Z18" s="20" t="str">
        <x:v>historical_context_only</x:v>
      </x:c>
      <x:c r="AA18" s="20" t="str">
        <x:v>La fecha exacta no quedó visible en el resultado consultado.</x:v>
      </x:c>
      <x:c r="AB18" s="20" t="str">
        <x:v>pending</x:v>
      </x:c>
    </x:row>
    <x:row r="19" ht="58" customHeight="1">
      <x:c r="A19" s="20" t="str">
        <x:v>BASE-020</x:v>
      </x:c>
      <x:c r="B19" s="20" t="str">
        <x:v>FAC-LEGACY-ELP-0006-6E3F1CFA89335BAF</x:v>
      </x:c>
      <x:c r="C19" s="20" t="str">
        <x:v>Altos del Pinar</x:v>
      </x:c>
      <x:c r="D19" s="20" t="str">
        <x:v>Canelones</x:v>
      </x:c>
      <x:c r="E19" s="20" t="str">
        <x:v>El Pinar</x:v>
      </x:c>
      <x:c r="F19" s="20" t="str">
        <x:v>Rambla Costanera M244 S2</x:v>
      </x:c>
      <x:c r="G19" s="30" t="b">
        <x:v>1</x:v>
      </x:c>
      <x:c r="H19" s="20" t="str">
        <x:v>historical_tariff</x:v>
      </x:c>
      <x:c r="I19" s="20" t="str">
        <x:v>price_range</x:v>
      </x:c>
      <x:c r="J19" s="20" t="str">
        <x:v>Habitación individual</x:v>
      </x:c>
      <x:c r="K19" s="20" t="str">
        <x:v>UYU</x:v>
      </x:c>
      <x:c r="L19" s="34" t="n">
        <x:v>70000</x:v>
      </x:c>
      <x:c r="M19" s="34" t="n">
        <x:v>80000</x:v>
      </x:c>
      <x:c r="N19" s="36" t="n">
        <x:v>1</x:v>
      </x:c>
      <x:c r="O19" s="34" t="n">
        <x:v>70000</x:v>
      </x:c>
      <x:c r="P19" s="34" t="n">
        <x:v>80000</x:v>
      </x:c>
      <x:c r="Q19" s="20" t="str">
        <x:v>2012-05-15</x:v>
      </x:c>
      <x:c r="R19" s="20" t="n">
        <x:v>2012</x:v>
      </x:c>
      <x:c r="S19" s="20" t="str">
        <x:v>El País</x:v>
      </x:c>
      <x:c r="T19" s="20" t="str">
        <x:v>https://www.elpais.com.uy/informacion/residencias-vip-nuevas-tendencias-para-3%C2%AA-edad</x:v>
      </x:c>
      <x:c r="U19" s="20" t="str">
        <x:v>Habitaciones individuales entre $70.000 y $80.000.</x:v>
      </x:c>
      <x:c r="V19" s="20" t="str">
        <x:v>Referencia periodística de 2012.</x:v>
      </x:c>
      <x:c r="W19" s="20" t="str">
        <x:v>Histórico; no usar como tarifa actual</x:v>
      </x:c>
      <x:c r="X19" s="20" t="str">
        <x:v>high</x:v>
      </x:c>
      <x:c r="Y19" s="20" t="str">
        <x:v>high</x:v>
      </x:c>
      <x:c r="Z19" s="20" t="str">
        <x:v>historical_context_only</x:v>
      </x:c>
      <x:c r="AA19" s="20" t="str">
        <x:v>Referencia muy antigua.</x:v>
      </x:c>
      <x:c r="AB19" s="20" t="str">
        <x:v>pending</x:v>
      </x:c>
    </x:row>
    <x:row r="20" ht="58" customHeight="1">
      <x:c r="A20" s="20" t="str">
        <x:v>BASE-021</x:v>
      </x:c>
      <x:c r="B20" s="20" t="str">
        <x:v>FAC-LEGACY-ELP-0006-6E3F1CFA89335BAF</x:v>
      </x:c>
      <x:c r="C20" s="20" t="str">
        <x:v>Altos del Pinar</x:v>
      </x:c>
      <x:c r="D20" s="20" t="str">
        <x:v>Canelones</x:v>
      </x:c>
      <x:c r="E20" s="20" t="str">
        <x:v>El Pinar</x:v>
      </x:c>
      <x:c r="F20" s="20" t="str">
        <x:v>Rambla Costanera M244 S2</x:v>
      </x:c>
      <x:c r="G20" s="30" t="b">
        <x:v>1</x:v>
      </x:c>
      <x:c r="H20" s="20" t="str">
        <x:v>historical_tariff</x:v>
      </x:c>
      <x:c r="I20" s="20" t="str">
        <x:v>exact_amount</x:v>
      </x:c>
      <x:c r="J20" s="20" t="str">
        <x:v>Habitación compartida</x:v>
      </x:c>
      <x:c r="K20" s="20" t="str">
        <x:v>UYU</x:v>
      </x:c>
      <x:c r="L20" s="34" t="n">
        <x:v>35000</x:v>
      </x:c>
      <x:c r="M20" s="34" t="n">
        <x:v>35000</x:v>
      </x:c>
      <x:c r="N20" s="36" t="n">
        <x:v>1</x:v>
      </x:c>
      <x:c r="O20" s="34" t="n">
        <x:v>35000</x:v>
      </x:c>
      <x:c r="P20" s="34" t="n">
        <x:v>35000</x:v>
      </x:c>
      <x:c r="Q20" s="20" t="str">
        <x:v>2012-05-15</x:v>
      </x:c>
      <x:c r="R20" s="20" t="n">
        <x:v>2012</x:v>
      </x:c>
      <x:c r="S20" s="20" t="str">
        <x:v>El País</x:v>
      </x:c>
      <x:c r="T20" s="20" t="str">
        <x:v>https://www.elpais.com.uy/informacion/residencias-vip-nuevas-tendencias-para-3%C2%AA-edad</x:v>
      </x:c>
      <x:c r="U20" s="20" t="str">
        <x:v>Habitación compartida: $35.000.</x:v>
      </x:c>
      <x:c r="V20" s="20" t="str">
        <x:v>Referencia periodística de 2012.</x:v>
      </x:c>
      <x:c r="W20" s="20" t="str">
        <x:v>Histórico; no usar como tarifa actual</x:v>
      </x:c>
      <x:c r="X20" s="20" t="str">
        <x:v>high</x:v>
      </x:c>
      <x:c r="Y20" s="20" t="str">
        <x:v>high</x:v>
      </x:c>
      <x:c r="Z20" s="20" t="str">
        <x:v>historical_context_only</x:v>
      </x:c>
      <x:c r="AA20" s="20" t="str">
        <x:v>Referencia muy antigua.</x:v>
      </x:c>
      <x:c r="AB20" s="20" t="str">
        <x:v>pending</x:v>
      </x:c>
    </x:row>
    <x:row r="21" ht="58" customHeight="1">
      <x:c r="A21" s="20" t="str">
        <x:v>BASE-022</x:v>
      </x:c>
      <x:c r="B21" s="20" t="str">
        <x:v>FAC-LEGACY-MSP24-044-83322A666C272E22</x:v>
      </x:c>
      <x:c r="C21" s="20" t="str">
        <x:v>Red Bienestar</x:v>
      </x:c>
      <x:c r="D21" s="20" t="str">
        <x:v>Montevideo</x:v>
      </x:c>
      <x:c r="E21" s="20" t="str">
        <x:v>Montevideo</x:v>
      </x:c>
      <x:c r="F21" s="20" t="str">
        <x:v>Av. Rivera 4589</x:v>
      </x:c>
      <x:c r="G21" s="30" t="b">
        <x:v>1</x:v>
      </x:c>
      <x:c r="H21" s="20" t="str">
        <x:v>historical_tariff</x:v>
      </x:c>
      <x:c r="I21" s="20" t="str">
        <x:v>price_from</x:v>
      </x:c>
      <x:c r="J21" s="20" t="str">
        <x:v>Mínimo; según habitación</x:v>
      </x:c>
      <x:c r="K21" s="20" t="str">
        <x:v>UYU</x:v>
      </x:c>
      <x:c r="L21" s="34" t="n">
        <x:v>38000</x:v>
      </x:c>
      <x:c r="M21" s="34"/>
      <x:c r="N21" s="36" t="n">
        <x:v>1</x:v>
      </x:c>
      <x:c r="O21" s="34" t="n">
        <x:v>38000</x:v>
      </x:c>
      <x:c r="P21" s="34"/>
      <x:c r="Q21" s="20" t="str">
        <x:v>2019-07-21</x:v>
      </x:c>
      <x:c r="R21" s="20" t="n">
        <x:v>2019</x:v>
      </x:c>
      <x:c r="S21" s="20" t="str">
        <x:v>El Observador</x:v>
      </x:c>
      <x:c r="T21" s="20" t="str">
        <x:v>https://www.elobservador.com.uy/nota/residenciales-un-negocio-que-crece-con-tarifas-de-35-000-a-120-000-al-mes-201972132159</x:v>
      </x:c>
      <x:c r="U21" s="20" t="str">
        <x:v>Tarifa mínima de $38.000.</x:v>
      </x:c>
      <x:c r="V21" s="20" t="str">
        <x:v>Dependía de habitación compartida o individual.</x:v>
      </x:c>
      <x:c r="W21" s="20" t="str">
        <x:v>Histórico; no usar como tarifa actual</x:v>
      </x:c>
      <x:c r="X21" s="20" t="str">
        <x:v>high</x:v>
      </x:c>
      <x:c r="Y21" s="20" t="str">
        <x:v>high</x:v>
      </x:c>
      <x:c r="Z21" s="20" t="str">
        <x:v>historical_context_only</x:v>
      </x:c>
      <x:c r="AA21" s="20" t="str">
        <x:v>Referencia de 2019.</x:v>
      </x:c>
      <x:c r="AB21" s="20" t="str">
        <x:v>pending</x:v>
      </x:c>
    </x:row>
    <x:row r="22" ht="58" customHeight="1">
      <x:c r="A22" s="20" t="str">
        <x:v>BASE-023</x:v>
      </x:c>
      <x:c r="B22" s="20" t="str">
        <x:v>FAC-LEGACY-ELP-0479-2A28F8D0ADC27059</x:v>
      </x:c>
      <x:c r="C22" s="20" t="str">
        <x:v>LAR - Centro</x:v>
      </x:c>
      <x:c r="D22" s="20" t="str">
        <x:v>Montevideo</x:v>
      </x:c>
      <x:c r="E22" s="20" t="str">
        <x:v>Montevideo</x:v>
      </x:c>
      <x:c r="F22" s="20" t="str">
        <x:v>Juan M. Espinosa 1480</x:v>
      </x:c>
      <x:c r="G22" s="30" t="b">
        <x:v>1</x:v>
      </x:c>
      <x:c r="H22" s="20" t="str">
        <x:v>historical_tariff</x:v>
      </x:c>
      <x:c r="I22" s="20" t="str">
        <x:v>price_from</x:v>
      </x:c>
      <x:c r="J22" s="20" t="str">
        <x:v>Desde</x:v>
      </x:c>
      <x:c r="K22" s="20" t="str">
        <x:v>UYU</x:v>
      </x:c>
      <x:c r="L22" s="34" t="n">
        <x:v>120000</x:v>
      </x:c>
      <x:c r="M22" s="34"/>
      <x:c r="N22" s="36" t="n">
        <x:v>1</x:v>
      </x:c>
      <x:c r="O22" s="34" t="n">
        <x:v>120000</x:v>
      </x:c>
      <x:c r="P22" s="34"/>
      <x:c r="Q22" s="20" t="str">
        <x:v>2019-07-21</x:v>
      </x:c>
      <x:c r="R22" s="20" t="n">
        <x:v>2019</x:v>
      </x:c>
      <x:c r="S22" s="20" t="str">
        <x:v>El Observador</x:v>
      </x:c>
      <x:c r="T22" s="20" t="str">
        <x:v>https://www.elobservador.com.uy/nota/residenciales-un-negocio-que-crece-con-tarifas-de-35-000-a-120-000-al-mes-201972132159</x:v>
      </x:c>
      <x:c r="U22" s="20" t="str">
        <x:v>Desde $120.000 podían encontrarse habitaciones.</x:v>
      </x:c>
      <x:c r="V22" s="20" t="str">
        <x:v>Dependía de los servicios incluidos.</x:v>
      </x:c>
      <x:c r="W22" s="20" t="str">
        <x:v>Histórico; no usar como tarifa actual</x:v>
      </x:c>
      <x:c r="X22" s="20" t="str">
        <x:v>high</x:v>
      </x:c>
      <x:c r="Y22" s="20" t="str">
        <x:v>medium</x:v>
      </x:c>
      <x:c r="Z22" s="20" t="str">
        <x:v>historical_context_only</x:v>
      </x:c>
      <x:c r="AA22" s="20" t="str">
        <x:v>La nota menciona LAR en Buceo; conciliación prudente.</x:v>
      </x:c>
      <x:c r="AB22" s="20" t="str">
        <x:v>pending</x:v>
      </x:c>
    </x:row>
    <x:row r="23" ht="58" customHeight="1">
      <x:c r="A23" s="20" t="str">
        <x:v>BASE-024</x:v>
      </x:c>
      <x:c r="B23" s="20" t="str">
        <x:v>FAC-LEGACY-MSP24-072-811E25FC964E9DA9</x:v>
      </x:c>
      <x:c r="C23" s="20" t="str">
        <x:v>Los Alpes</x:v>
      </x:c>
      <x:c r="D23" s="20" t="str">
        <x:v>Montevideo</x:v>
      </x:c>
      <x:c r="E23" s="20" t="str">
        <x:v>Montevideo</x:v>
      </x:c>
      <x:c r="F23" s="20" t="str">
        <x:v>Fernández Crespo 1776</x:v>
      </x:c>
      <x:c r="G23" s="30" t="b">
        <x:v>1</x:v>
      </x:c>
      <x:c r="H23" s="20" t="str">
        <x:v>historical_tariff</x:v>
      </x:c>
      <x:c r="I23" s="20" t="str">
        <x:v>exact_amount</x:v>
      </x:c>
      <x:c r="J23" s="20" t="str">
        <x:v>Habitación compartida</x:v>
      </x:c>
      <x:c r="K23" s="20" t="str">
        <x:v>UYU</x:v>
      </x:c>
      <x:c r="L23" s="34" t="n">
        <x:v>40000</x:v>
      </x:c>
      <x:c r="M23" s="34" t="n">
        <x:v>40000</x:v>
      </x:c>
      <x:c r="N23" s="36" t="n">
        <x:v>1</x:v>
      </x:c>
      <x:c r="O23" s="34" t="n">
        <x:v>40000</x:v>
      </x:c>
      <x:c r="P23" s="34" t="n">
        <x:v>40000</x:v>
      </x:c>
      <x:c r="Q23" s="20" t="str">
        <x:v>2019-07-21</x:v>
      </x:c>
      <x:c r="R23" s="20" t="n">
        <x:v>2019</x:v>
      </x:c>
      <x:c r="S23" s="20" t="str">
        <x:v>El Observador</x:v>
      </x:c>
      <x:c r="T23" s="20" t="str">
        <x:v>https://www.elobservador.com.uy/nota/residenciales-un-negocio-que-crece-con-tarifas-de-35-000-a-120-000-al-mes-201972132159</x:v>
      </x:c>
      <x:c r="U23" s="20" t="str">
        <x:v>Aproximadamente $40.000 por habitación compartida.</x:v>
      </x:c>
      <x:c r="V23" s="20" t="str">
        <x:v>No detallado de forma completa.</x:v>
      </x:c>
      <x:c r="W23" s="20" t="str">
        <x:v>Histórico; no usar como tarifa actual</x:v>
      </x:c>
      <x:c r="X23" s="20" t="str">
        <x:v>high</x:v>
      </x:c>
      <x:c r="Y23" s="20" t="str">
        <x:v>high</x:v>
      </x:c>
      <x:c r="Z23" s="20" t="str">
        <x:v>historical_context_only</x:v>
      </x:c>
      <x:c r="AA23" s="20" t="str">
        <x:v>Referencia de 2019.</x:v>
      </x:c>
      <x:c r="AB23" s="20" t="str">
        <x:v>pending</x:v>
      </x:c>
    </x:row>
    <x:row r="24" ht="58" customHeight="1">
      <x:c r="A24" s="20" t="str">
        <x:v>BASE-025</x:v>
      </x:c>
      <x:c r="B24" s="20" t="str">
        <x:v>FAC-LEGACY-ELP-0427-C438EEBBD66E1884</x:v>
      </x:c>
      <x:c r="C24" s="20" t="str">
        <x:v>Hogar Amelia Ruano de Schiaffino</x:v>
      </x:c>
      <x:c r="D24" s="20" t="str">
        <x:v>Montevideo</x:v>
      </x:c>
      <x:c r="E24" s="20" t="str">
        <x:v>Montevideo</x:v>
      </x:c>
      <x:c r="F24" s="20" t="str">
        <x:v>Pedro Trapani 1197</x:v>
      </x:c>
      <x:c r="G24" s="30" t="b">
        <x:v>1</x:v>
      </x:c>
      <x:c r="H24" s="20" t="str">
        <x:v>historical_tariff</x:v>
      </x:c>
      <x:c r="I24" s="20" t="str">
        <x:v>exact_amount</x:v>
      </x:c>
      <x:c r="J24" s="20" t="str">
        <x:v>Habitación compartida para residentes privados</x:v>
      </x:c>
      <x:c r="K24" s="20" t="str">
        <x:v>UYU</x:v>
      </x:c>
      <x:c r="L24" s="34" t="n">
        <x:v>35000</x:v>
      </x:c>
      <x:c r="M24" s="34" t="n">
        <x:v>35000</x:v>
      </x:c>
      <x:c r="N24" s="36" t="n">
        <x:v>1</x:v>
      </x:c>
      <x:c r="O24" s="34" t="n">
        <x:v>35000</x:v>
      </x:c>
      <x:c r="P24" s="34" t="n">
        <x:v>35000</x:v>
      </x:c>
      <x:c r="Q24" s="20" t="str">
        <x:v>2019-07-21</x:v>
      </x:c>
      <x:c r="R24" s="20" t="n">
        <x:v>2019</x:v>
      </x:c>
      <x:c r="S24" s="20" t="str">
        <x:v>El Observador</x:v>
      </x:c>
      <x:c r="T24" s="20" t="str">
        <x:v>https://www.elobservador.com.uy/nota/residenciales-un-negocio-que-crece-con-tarifas-de-35-000-a-120-000-al-mes-201972132159</x:v>
      </x:c>
      <x:c r="U24" s="20" t="str">
        <x:v>Los residentes privados pagaban $35.000.</x:v>
      </x:c>
      <x:c r="V24" s="20" t="str">
        <x:v>La nota explica un esquema mixto con convenio BPS.</x:v>
      </x:c>
      <x:c r="W24" s="20" t="str">
        <x:v>Histórico; no usar como tarifa actual</x:v>
      </x:c>
      <x:c r="X24" s="20" t="str">
        <x:v>high</x:v>
      </x:c>
      <x:c r="Y24" s="20" t="str">
        <x:v>high</x:v>
      </x:c>
      <x:c r="Z24" s="20" t="str">
        <x:v>historical_context_only</x:v>
      </x:c>
      <x:c r="AA24" s="20" t="str">
        <x:v>Referencia de 2019.</x:v>
      </x:c>
      <x:c r="AB24" s="20" t="str">
        <x:v>pending</x:v>
      </x:c>
    </x:row>
    <x:row r="25" ht="58" customHeight="1">
      <x:c r="A25" s="20" t="str">
        <x:v>NEW-001</x:v>
      </x:c>
      <x:c r="B25" s="20" t="str">
        <x:v>FAC-LEGACY-ELP-0448-898D6DD9A7C54857</x:v>
      </x:c>
      <x:c r="C25" s="20" t="str">
        <x:v>Hotel Continental Senior</x:v>
      </x:c>
      <x:c r="D25" s="20" t="str">
        <x:v>Montevideo</x:v>
      </x:c>
      <x:c r="E25" s="20" t="str">
        <x:v>Montevideo</x:v>
      </x:c>
      <x:c r="F25" s="20" t="str">
        <x:v>Paraguay 1372</x:v>
      </x:c>
      <x:c r="G25" s="30" t="b">
        <x:v>1</x:v>
      </x:c>
      <x:c r="H25" s="20" t="str">
        <x:v>historical_tariff</x:v>
      </x:c>
      <x:c r="I25" s="20" t="str">
        <x:v>exact_amount</x:v>
      </x:c>
      <x:c r="J25" s="20" t="str">
        <x:v>Habitación individual, persona autoválida</x:v>
      </x:c>
      <x:c r="K25" s="20" t="str">
        <x:v>UYU</x:v>
      </x:c>
      <x:c r="L25" s="34" t="n">
        <x:v>58000</x:v>
      </x:c>
      <x:c r="M25" s="34" t="n">
        <x:v>58000</x:v>
      </x:c>
      <x:c r="N25" s="36" t="n">
        <x:v>1</x:v>
      </x:c>
      <x:c r="O25" s="34" t="n">
        <x:v>58000</x:v>
      </x:c>
      <x:c r="P25" s="34" t="n">
        <x:v>58000</x:v>
      </x:c>
      <x:c r="Q25" s="20" t="str">
        <x:v>2016-09-11</x:v>
      </x:c>
      <x:c r="R25" s="20" t="n">
        <x:v>2016</x:v>
      </x:c>
      <x:c r="S25" s="20" t="str">
        <x:v>El País</x:v>
      </x:c>
      <x:c r="T25" s="20" t="str">
        <x:v>https://www.elpais.com.uy/negocios/finanzas/hoteles-para-jubilados-otra-opcion-al-manejar-el-retiro</x:v>
      </x:c>
      <x:c r="U25" s="20" t="str">
        <x:v>La fuente primaria informó $58.000 mensuales para una habitación individual.</x:v>
      </x:c>
      <x:c r="V25" s="20"/>
      <x:c r="W25" s="20" t="str">
        <x:v>historical_2016</x:v>
      </x:c>
      <x:c r="X25" s="20" t="str">
        <x:v>high</x:v>
      </x:c>
      <x:c r="Y25" s="20" t="str">
        <x:v>high</x:v>
      </x:c>
      <x:c r="Z25" s="20" t="str">
        <x:v>historical_context_only</x:v>
      </x:c>
      <x:c r="AA25" s="20" t="str">
        <x:v>Fuente primaria; reemplaza como referencia preferida a la reproducción secundaria que indicaba $42.000.</x:v>
      </x:c>
      <x:c r="AB25" s="20" t="str">
        <x:v>pending</x:v>
      </x:c>
    </x:row>
    <x:row r="26" ht="58" customHeight="1">
      <x:c r="A26" s="20" t="str">
        <x:v>NEW-002</x:v>
      </x:c>
      <x:c r="B26" s="20" t="str">
        <x:v>FAC-LEGACY-ELP-0448-898D6DD9A7C54857</x:v>
      </x:c>
      <x:c r="C26" s="20" t="str">
        <x:v>Hotel Continental Senior</x:v>
      </x:c>
      <x:c r="D26" s="20" t="str">
        <x:v>Montevideo</x:v>
      </x:c>
      <x:c r="E26" s="20" t="str">
        <x:v>Montevideo</x:v>
      </x:c>
      <x:c r="F26" s="20" t="str">
        <x:v>Paraguay 1372</x:v>
      </x:c>
      <x:c r="G26" s="30" t="b">
        <x:v>1</x:v>
      </x:c>
      <x:c r="H26" s="20" t="str">
        <x:v>historical_tariff</x:v>
      </x:c>
      <x:c r="I26" s="20" t="str">
        <x:v>exact_amount</x:v>
      </x:c>
      <x:c r="J26" s="20" t="str">
        <x:v>Habitación compartida, persona autoválida</x:v>
      </x:c>
      <x:c r="K26" s="20" t="str">
        <x:v>UYU</x:v>
      </x:c>
      <x:c r="L26" s="34" t="n">
        <x:v>35000</x:v>
      </x:c>
      <x:c r="M26" s="34" t="n">
        <x:v>35000</x:v>
      </x:c>
      <x:c r="N26" s="36" t="n">
        <x:v>1</x:v>
      </x:c>
      <x:c r="O26" s="34" t="n">
        <x:v>35000</x:v>
      </x:c>
      <x:c r="P26" s="34" t="n">
        <x:v>35000</x:v>
      </x:c>
      <x:c r="Q26" s="20" t="str">
        <x:v>2016-09-11</x:v>
      </x:c>
      <x:c r="R26" s="20" t="n">
        <x:v>2016</x:v>
      </x:c>
      <x:c r="S26" s="20" t="str">
        <x:v>El País</x:v>
      </x:c>
      <x:c r="T26" s="20" t="str">
        <x:v>https://www.elpais.com.uy/negocios/finanzas/hoteles-para-jubilados-otra-opcion-al-manejar-el-retiro</x:v>
      </x:c>
      <x:c r="U26" s="20" t="str">
        <x:v>La fuente primaria informó aproximadamente $35.000 mensuales compartiendo habitación.</x:v>
      </x:c>
      <x:c r="V26" s="20"/>
      <x:c r="W26" s="20" t="str">
        <x:v>historical_2016</x:v>
      </x:c>
      <x:c r="X26" s="20" t="str">
        <x:v>high</x:v>
      </x:c>
      <x:c r="Y26" s="20" t="str">
        <x:v>high</x:v>
      </x:c>
      <x:c r="Z26" s="20" t="str">
        <x:v>historical_context_only</x:v>
      </x:c>
      <x:c r="AA26" s="20" t="str">
        <x:v>Fuente primaria; modalidad compartida.</x:v>
      </x:c>
      <x:c r="AB26" s="20" t="str">
        <x:v>pending</x:v>
      </x:c>
    </x:row>
    <x:row r="27" ht="58" customHeight="1">
      <x:c r="A27" s="20" t="str">
        <x:v>NEW-003</x:v>
      </x:c>
      <x:c r="B27" s="20" t="str">
        <x:v>FAC-LEGACY-MSP24-111-D0D05002AAEC40A3</x:v>
      </x:c>
      <x:c r="C27" s="20" t="str">
        <x:v>La Maison Senior Apartments</x:v>
      </x:c>
      <x:c r="D27" s="20" t="str">
        <x:v>Montevideo</x:v>
      </x:c>
      <x:c r="E27" s="20" t="str">
        <x:v>Montevideo</x:v>
      </x:c>
      <x:c r="F27" s="20" t="str">
        <x:v>26 de Marzo 3322</x:v>
      </x:c>
      <x:c r="G27" s="30" t="b">
        <x:v>1</x:v>
      </x:c>
      <x:c r="H27" s="20" t="str">
        <x:v>historical_tariff</x:v>
      </x:c>
      <x:c r="I27" s="20" t="str">
        <x:v>price_up_to</x:v>
      </x:c>
      <x:c r="J27" s="20" t="str">
        <x:v>Según necesidades</x:v>
      </x:c>
      <x:c r="K27" s="20" t="str">
        <x:v>USD</x:v>
      </x:c>
      <x:c r="L27" s="34"/>
      <x:c r="M27" s="34" t="n">
        <x:v>5000</x:v>
      </x:c>
      <x:c r="N27" s="36" t="n">
        <x:v>40.214</x:v>
      </x:c>
      <x:c r="O27" s="34"/>
      <x:c r="P27" s="34" t="n">
        <x:v>201070</x:v>
      </x:c>
      <x:c r="Q27" s="20" t="str">
        <x:v>2016-09-11</x:v>
      </x:c>
      <x:c r="R27" s="20" t="n">
        <x:v>2016</x:v>
      </x:c>
      <x:c r="S27" s="20" t="str">
        <x:v>El País</x:v>
      </x:c>
      <x:c r="T27" s="20" t="str">
        <x:v>https://www.elpais.com.uy/negocios/finanzas/hoteles-para-jubilados-otra-opcion-al-manejar-el-retiro</x:v>
      </x:c>
      <x:c r="U27" s="20" t="str">
        <x:v>La fuente primaria indicó que el costo podía llegar hasta USD 5.000 mensuales según las necesidades.</x:v>
      </x:c>
      <x:c r="V27" s="20"/>
      <x:c r="W27" s="20" t="str">
        <x:v>historical_2016</x:v>
      </x:c>
      <x:c r="X27" s="20" t="str">
        <x:v>high</x:v>
      </x:c>
      <x:c r="Y27" s="20" t="str">
        <x:v>high</x:v>
      </x:c>
      <x:c r="Z27" s="20" t="str">
        <x:v>historical_context_only</x:v>
      </x:c>
      <x:c r="AA27" s="20" t="str">
        <x:v>Fuente primaria; no convertir automáticamente a pesos uruguayos.</x:v>
      </x:c>
      <x:c r="AB27" s="20" t="str">
        <x:v>pending</x:v>
      </x:c>
    </x:row>
  </x:sheetData>
  <x:dataValidations count="1">
    <x:dataValidation type="list" sqref="AB2:AB27">
      <x:formula1>"pending,approved,rejected,needs_research"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31dc3b48a649d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1" hidden="0" customWidth="1"/>
    <x:col min="4" max="4" width="17" hidden="0" customWidth="1"/>
    <x:col min="5" max="5" width="18" hidden="0" customWidth="1"/>
    <x:col min="6" max="6" width="35" hidden="0" customWidth="1"/>
    <x:col min="7" max="7" width="17" hidden="0" customWidth="1"/>
    <x:col min="8" max="8" width="23" hidden="0" customWidth="1"/>
    <x:col min="9" max="9" width="23" hidden="0" customWidth="1"/>
    <x:col min="10" max="10" width="38" hidden="0" customWidth="1"/>
    <x:col min="11" max="11" width="17" hidden="0" customWidth="1"/>
    <x:col min="12" max="12" width="17" hidden="0" customWidth="1"/>
    <x:col min="13" max="13" width="17" hidden="0" customWidth="1"/>
    <x:col min="14" max="14" width="18" hidden="0" customWidth="1"/>
    <x:col min="15" max="15" width="20" hidden="0" customWidth="1"/>
    <x:col min="16" max="16" width="20" hidden="0" customWidth="1"/>
    <x:col min="17" max="17" width="25" hidden="0" customWidth="1"/>
    <x:col min="18" max="18" width="14" hidden="0" customWidth="1"/>
    <x:col min="19" max="19" width="26" hidden="0" customWidth="1"/>
    <x:col min="20" max="20" width="68" hidden="0" customWidth="1"/>
    <x:col min="21" max="21" width="48" hidden="0" customWidth="1"/>
    <x:col min="22" max="22" width="43" hidden="0" customWidth="1"/>
    <x:col min="23" max="23" width="26" hidden="0" customWidth="1"/>
    <x:col min="24" max="24" width="18" hidden="0" customWidth="1"/>
    <x:col min="25" max="25" width="18" hidden="0" customWidth="1"/>
    <x:col min="26" max="26" width="38" hidden="0" customWidth="1"/>
    <x:col min="27" max="27" width="52" hidden="0" customWidth="1"/>
    <x:col min="28" max="28" width="18" hidden="0" customWidth="1"/>
  </x:cols>
  <x:sheetData>
    <x:row r="1">
      <x:c r="A1" s="12" t="str">
        <x:v>record_id</x:v>
      </x:c>
      <x:c r="B1" s="12" t="str">
        <x:v>arandu_id</x:v>
      </x:c>
      <x:c r="C1" s="12" t="str">
        <x:v>facility_name</x:v>
      </x:c>
      <x:c r="D1" s="12" t="str">
        <x:v>department</x:v>
      </x:c>
      <x:c r="E1" s="12" t="str">
        <x:v>locality</x:v>
      </x:c>
      <x:c r="F1" s="12" t="str">
        <x:v>address</x:v>
      </x:c>
      <x:c r="G1" s="12" t="str">
        <x:v>matched_to_arandu</x:v>
      </x:c>
      <x:c r="H1" s="12" t="str">
        <x:v>evidence_type</x:v>
      </x:c>
      <x:c r="I1" s="12" t="str">
        <x:v>evidence_category</x:v>
      </x:c>
      <x:c r="J1" s="12" t="str">
        <x:v>modality</x:v>
      </x:c>
      <x:c r="K1" s="12" t="str">
        <x:v>original_currency</x:v>
      </x:c>
      <x:c r="L1" s="12" t="str">
        <x:v>original_price_min</x:v>
      </x:c>
      <x:c r="M1" s="12" t="str">
        <x:v>original_price_max</x:v>
      </x:c>
      <x:c r="N1" s="12" t="str">
        <x:v>exchange_rate_to_uyu</x:v>
      </x:c>
      <x:c r="O1" s="12" t="str">
        <x:v>normalized_price_min_uyu</x:v>
      </x:c>
      <x:c r="P1" s="12" t="str">
        <x:v>normalized_price_max_uyu</x:v>
      </x:c>
      <x:c r="Q1" s="12" t="str">
        <x:v>source_date_text</x:v>
      </x:c>
      <x:c r="R1" s="12" t="str">
        <x:v>source_year</x:v>
      </x:c>
      <x:c r="S1" s="12" t="str">
        <x:v>source_label</x:v>
      </x:c>
      <x:c r="T1" s="12" t="str">
        <x:v>source_url</x:v>
      </x:c>
      <x:c r="U1" s="12" t="str">
        <x:v>raw_text</x:v>
      </x:c>
      <x:c r="V1" s="12" t="str">
        <x:v>includes</x:v>
      </x:c>
      <x:c r="W1" s="12" t="str">
        <x:v>temporal_status</x:v>
      </x:c>
      <x:c r="X1" s="12" t="str">
        <x:v>price_confidence</x:v>
      </x:c>
      <x:c r="Y1" s="12" t="str">
        <x:v>match_confidence</x:v>
      </x:c>
      <x:c r="Z1" s="12" t="str">
        <x:v>publish_recommendation</x:v>
      </x:c>
      <x:c r="AA1" s="12" t="str">
        <x:v>notes</x:v>
      </x:c>
      <x:c r="AB1" s="12" t="str">
        <x:v>review_status</x:v>
      </x:c>
    </x:row>
    <x:row r="2" ht="58" customHeight="1">
      <x:c r="A2" s="38" t="str">
        <x:v>UNLINKED-001</x:v>
      </x:c>
      <x:c r="B2" s="38"/>
      <x:c r="C2" s="38" t="str">
        <x:v>S H Residencial</x:v>
      </x:c>
      <x:c r="D2" s="38" t="str">
        <x:v>Montevideo</x:v>
      </x:c>
      <x:c r="E2" s="38" t="str">
        <x:v>Carrasco</x:v>
      </x:c>
      <x:c r="F2" s="38" t="str">
        <x:v>Dirección exacta no publicada</x:v>
      </x:c>
      <x:c r="G2" s="39" t="b">
        <x:v>0</x:v>
      </x:c>
      <x:c r="H2" s="38" t="str">
        <x:v>commercial_tariff</x:v>
      </x:c>
      <x:c r="I2" s="38" t="str">
        <x:v>price_from</x:v>
      </x:c>
      <x:c r="J2" s="38" t="str">
        <x:v>Habitación privada con baño compartido</x:v>
      </x:c>
      <x:c r="K2" s="38" t="str">
        <x:v>UYU</x:v>
      </x:c>
      <x:c r="L2" s="42" t="n">
        <x:v>50000</x:v>
      </x:c>
      <x:c r="M2" s="42"/>
      <x:c r="N2" s="44" t="n">
        <x:v>1</x:v>
      </x:c>
      <x:c r="O2" s="42" t="n">
        <x:v>50000</x:v>
      </x:c>
      <x:c r="P2" s="42"/>
      <x:c r="Q2" s="38" t="str">
        <x:v>Sin fecha visible</x:v>
      </x:c>
      <x:c r="R2" s="38"/>
      <x:c r="S2" s="38" t="str">
        <x:v>Red de Residenciales</x:v>
      </x:c>
      <x:c r="T2" s="38" t="str">
        <x:v>https://www.redresidenciales.com.uy/residencial_hotel/carrasco/s-h-residencial/</x:v>
      </x:c>
      <x:c r="U2" s="38" t="str">
        <x:v>La ficha publica una tarifa desde $50.000.</x:v>
      </x:c>
      <x:c r="V2" s="38" t="str">
        <x:v>Habitación privada; alimentación; enfermería; fisioterapia; podología y actividades según la ficha.</x:v>
      </x:c>
      <x:c r="W2" s="38" t="str">
        <x:v>currently_visible_undated</x:v>
      </x:c>
      <x:c r="X2" s="38" t="str">
        <x:v>high</x:v>
      </x:c>
      <x:c r="Y2" s="38" t="str">
        <x:v>low</x:v>
      </x:c>
      <x:c r="Z2" s="38" t="str">
        <x:v>do_not_publish_until_reconciled</x:v>
      </x:c>
      <x:c r="AA2" s="38" t="str">
        <x:v>No se vinculó a una ficha concreta de Arandú.</x:v>
      </x:c>
      <x:c r="AB2" s="38" t="str">
        <x:v>pending</x:v>
      </x:c>
    </x:row>
    <x:row r="3" ht="58" customHeight="1">
      <x:c r="A3" s="38" t="str">
        <x:v>UNLINKED-002</x:v>
      </x:c>
      <x:c r="B3" s="38"/>
      <x:c r="C3" s="38" t="str">
        <x:v>Residencial El Parque</x:v>
      </x:c>
      <x:c r="D3" s="38" t="str">
        <x:v>Canelones</x:v>
      </x:c>
      <x:c r="E3" s="38" t="str">
        <x:v>Las Toscas</x:v>
      </x:c>
      <x:c r="F3" s="38" t="str">
        <x:v>Calle F y Calle 14</x:v>
      </x:c>
      <x:c r="G3" s="39" t="b">
        <x:v>0</x:v>
      </x:c>
      <x:c r="H3" s="38" t="str">
        <x:v>commercial_tariff</x:v>
      </x:c>
      <x:c r="I3" s="38" t="str">
        <x:v>price_from</x:v>
      </x:c>
      <x:c r="J3" s="38" t="str">
        <x:v>Habitaciones compartidas; estadías permanentes y temporales</x:v>
      </x:c>
      <x:c r="K3" s="38" t="str">
        <x:v>UYU</x:v>
      </x:c>
      <x:c r="L3" s="42" t="n">
        <x:v>30000</x:v>
      </x:c>
      <x:c r="M3" s="42"/>
      <x:c r="N3" s="44" t="n">
        <x:v>1</x:v>
      </x:c>
      <x:c r="O3" s="42" t="n">
        <x:v>30000</x:v>
      </x:c>
      <x:c r="P3" s="42"/>
      <x:c r="Q3" s="38" t="str">
        <x:v>Sin fecha visible</x:v>
      </x:c>
      <x:c r="R3" s="38"/>
      <x:c r="S3" s="38" t="str">
        <x:v>Red de Residenciales</x:v>
      </x:c>
      <x:c r="T3" s="38" t="str">
        <x:v>https://www.redresidenciales.com.uy/residencial_hotel/canelones/ciudad-de-la-cosa/residencial-el-parque/</x:v>
      </x:c>
      <x:c r="U3" s="38" t="str">
        <x:v>La ficha publica una tarifa desde $30.000.</x:v>
      </x:c>
      <x:c r="V3" s="38" t="str">
        <x:v>Estadías permanentes y temporales; espacios verdes y talleres según la ficha.</x:v>
      </x:c>
      <x:c r="W3" s="38" t="str">
        <x:v>currently_visible_undated</x:v>
      </x:c>
      <x:c r="X3" s="38" t="str">
        <x:v>high</x:v>
      </x:c>
      <x:c r="Y3" s="38" t="str">
        <x:v>low</x:v>
      </x:c>
      <x:c r="Z3" s="38" t="str">
        <x:v>do_not_publish_until_reconciled</x:v>
      </x:c>
      <x:c r="AA3" s="38" t="str">
        <x:v>Podría ser un establecimiento faltante, un alias o una ficha aún no conciliada.</x:v>
      </x:c>
      <x:c r="AB3" s="38" t="str">
        <x:v>pending</x:v>
      </x:c>
    </x:row>
    <x:row r="4" ht="58" customHeight="1">
      <x:c r="A4" s="38" t="str">
        <x:v>UNLINKED-003</x:v>
      </x:c>
      <x:c r="B4" s="38"/>
      <x:c r="C4" s="38" t="str">
        <x:v>Residencial en Carrasco</x:v>
      </x:c>
      <x:c r="D4" s="38" t="str">
        <x:v>Montevideo</x:v>
      </x:c>
      <x:c r="E4" s="38" t="str">
        <x:v>Carrasco</x:v>
      </x:c>
      <x:c r="F4" s="38" t="str">
        <x:v>Dirección exacta no publicada</x:v>
      </x:c>
      <x:c r="G4" s="39" t="b">
        <x:v>0</x:v>
      </x:c>
      <x:c r="H4" s="38" t="str">
        <x:v>commercial_tariff</x:v>
      </x:c>
      <x:c r="I4" s="38" t="str">
        <x:v>exact_amount</x:v>
      </x:c>
      <x:c r="J4" s="38" t="str">
        <x:v>Habitación individual con baño privado</x:v>
      </x:c>
      <x:c r="K4" s="38" t="str">
        <x:v>UYU_INFERRED</x:v>
      </x:c>
      <x:c r="L4" s="42" t="n">
        <x:v>59000</x:v>
      </x:c>
      <x:c r="M4" s="42" t="n">
        <x:v>59000</x:v>
      </x:c>
      <x:c r="N4" s="44" t="n">
        <x:v>1</x:v>
      </x:c>
      <x:c r="O4" s="42" t="n">
        <x:v>59000</x:v>
      </x:c>
      <x:c r="P4" s="42" t="n">
        <x:v>59000</x:v>
      </x:c>
      <x:c r="Q4" s="38" t="str">
        <x:v>Sin fecha visible</x:v>
      </x:c>
      <x:c r="R4" s="38"/>
      <x:c r="S4" s="38" t="str">
        <x:v>Red de Residenciales</x:v>
      </x:c>
      <x:c r="T4" s="38" t="str">
        <x:v>https://www.redresidenciales.com.uy/residencial_hotel/carrasco/residencial-en-carrasco/</x:v>
      </x:c>
      <x:c r="U4" s="38" t="str">
        <x:v>La ficha muestra el número 59000, sin símbolo monetario.</x:v>
      </x:c>
      <x:c r="V4" s="38" t="str">
        <x:v>Habitación individual con baño privado; alimentación; enfermería y actividades según la ficha.</x:v>
      </x:c>
      <x:c r="W4" s="38" t="str">
        <x:v>currently_visible_undated</x:v>
      </x:c>
      <x:c r="X4" s="38" t="str">
        <x:v>low</x:v>
      </x:c>
      <x:c r="Y4" s="38" t="str">
        <x:v>low</x:v>
      </x:c>
      <x:c r="Z4" s="38" t="str">
        <x:v>do_not_publish_until_reconciled</x:v>
      </x:c>
      <x:c r="AA4" s="38" t="str">
        <x:v>UYU se infiere por contexto. No hay nombre comercial ni dirección suficiente.</x:v>
      </x:c>
      <x:c r="AB4" s="38" t="str">
        <x:v>pending</x:v>
      </x:c>
    </x:row>
    <x:row r="5" ht="58" customHeight="1">
      <x:c r="A5" s="38" t="str">
        <x:v>UNLINKED-004</x:v>
      </x:c>
      <x:c r="B5" s="38"/>
      <x:c r="C5" s="38" t="str">
        <x:v>Residencial E F</x:v>
      </x:c>
      <x:c r="D5" s="38" t="str">
        <x:v>Montevideo</x:v>
      </x:c>
      <x:c r="E5" s="38" t="str">
        <x:v>Carrasco</x:v>
      </x:c>
      <x:c r="F5" s="38" t="str">
        <x:v>Dirección exacta no publicada</x:v>
      </x:c>
      <x:c r="G5" s="39" t="b">
        <x:v>0</x:v>
      </x:c>
      <x:c r="H5" s="38" t="str">
        <x:v>commercial_tariff</x:v>
      </x:c>
      <x:c r="I5" s="38" t="str">
        <x:v>exact_amount</x:v>
      </x:c>
      <x:c r="J5" s="38" t="str">
        <x:v>Habitación privada con baño compartido</x:v>
      </x:c>
      <x:c r="K5" s="38" t="str">
        <x:v>UYU_INFERRED</x:v>
      </x:c>
      <x:c r="L5" s="42" t="n">
        <x:v>48000</x:v>
      </x:c>
      <x:c r="M5" s="42" t="n">
        <x:v>48000</x:v>
      </x:c>
      <x:c r="N5" s="44" t="n">
        <x:v>1</x:v>
      </x:c>
      <x:c r="O5" s="42" t="n">
        <x:v>48000</x:v>
      </x:c>
      <x:c r="P5" s="42" t="n">
        <x:v>48000</x:v>
      </x:c>
      <x:c r="Q5" s="38" t="str">
        <x:v>Sin fecha visible</x:v>
      </x:c>
      <x:c r="R5" s="38"/>
      <x:c r="S5" s="38" t="str">
        <x:v>Red de Residenciales</x:v>
      </x:c>
      <x:c r="T5" s="38" t="str">
        <x:v>https://www.redresidenciales.com.uy/residencial-hotel/montevideo/residencial-e-f/</x:v>
      </x:c>
      <x:c r="U5" s="38" t="str">
        <x:v>La ficha muestra el número 48000, sin símbolo monetario.</x:v>
      </x:c>
      <x:c r="V5" s="38" t="str">
        <x:v>Habitación privada; alimentación; fisioterapia; odontología; podología y actividades según la ficha.</x:v>
      </x:c>
      <x:c r="W5" s="38" t="str">
        <x:v>currently_visible_undated</x:v>
      </x:c>
      <x:c r="X5" s="38" t="str">
        <x:v>low</x:v>
      </x:c>
      <x:c r="Y5" s="38" t="str">
        <x:v>low</x:v>
      </x:c>
      <x:c r="Z5" s="38" t="str">
        <x:v>do_not_publish_until_reconciled</x:v>
      </x:c>
      <x:c r="AA5" s="38" t="str">
        <x:v>UYU se infiere por contexto. No se encontró una ficha inequívoca en Arandú.</x:v>
      </x:c>
      <x:c r="AB5" s="38" t="str">
        <x:v>pending</x:v>
      </x:c>
    </x:row>
    <x:row r="6" ht="58" customHeight="1">
      <x:c r="A6" s="38" t="str">
        <x:v>UNLINKED-005</x:v>
      </x:c>
      <x:c r="B6" s="38"/>
      <x:c r="C6" s="38" t="str">
        <x:v>Iporá Boutique Care Network</x:v>
      </x:c>
      <x:c r="D6" s="38" t="str">
        <x:v>Colonia / Montevideo / Maldonado</x:v>
      </x:c>
      <x:c r="E6" s="38" t="str">
        <x:v>Varias</x:v>
      </x:c>
      <x:c r="F6" s="38" t="str">
        <x:v>Varias ubicaciones anunciadas</x:v>
      </x:c>
      <x:c r="G6" s="39" t="b">
        <x:v>0</x:v>
      </x:c>
      <x:c r="H6" s="38" t="str">
        <x:v>commercial_tariff</x:v>
      </x:c>
      <x:c r="I6" s="38" t="str">
        <x:v>price_from</x:v>
      </x:c>
      <x:c r="J6" s="38" t="str">
        <x:v>Tier 1 — apoyo independiente</x:v>
      </x:c>
      <x:c r="K6" s="38" t="str">
        <x:v>USD</x:v>
      </x:c>
      <x:c r="L6" s="42" t="n">
        <x:v>4500</x:v>
      </x:c>
      <x:c r="M6" s="42"/>
      <x:c r="N6" s="44" t="n">
        <x:v>40.214</x:v>
      </x:c>
      <x:c r="O6" s="42" t="n">
        <x:v>180963</x:v>
      </x:c>
      <x:c r="P6" s="42"/>
      <x:c r="Q6" s="38" t="str">
        <x:v>Oferta visible en 2026</x:v>
      </x:c>
      <x:c r="R6" s="38" t="n">
        <x:v>2026</x:v>
      </x:c>
      <x:c r="S6" s="38" t="str">
        <x:v>Iporá Boutique Care Network</x:v>
      </x:c>
      <x:c r="T6" s="38" t="str">
        <x:v>https://residencialipora.com/rivera</x:v>
      </x:c>
      <x:c r="U6" s="38" t="str">
        <x:v>La red anuncia una tarifa desde USD 4.500 mensuales para apoyo independiente.</x:v>
      </x:c>
      <x:c r="V6" s="38" t="str">
        <x:v>Cuidado 24/7, pensión completa, nutricionista, médico semanal, trabajador social y actividades; excluye higiene personal y medicamentos recetados.</x:v>
      </x:c>
      <x:c r="W6" s="38" t="str">
        <x:v>published_2026</x:v>
      </x:c>
      <x:c r="X6" s="38" t="str">
        <x:v>high</x:v>
      </x:c>
      <x:c r="Y6" s="38" t="str">
        <x:v>low</x:v>
      </x:c>
      <x:c r="Z6" s="38" t="str">
        <x:v>do_not_publish_until_reconciled</x:v>
      </x:c>
      <x:c r="AA6" s="38" t="str">
        <x:v>No asignar al Residencial Iporá de Tacuarembó; la oferta corresponde a una red y otras ubicaciones.</x:v>
      </x:c>
      <x:c r="AB6" s="38" t="str">
        <x:v>pending</x:v>
      </x:c>
    </x:row>
  </x:sheetData>
  <x:dataValidations count="1">
    <x:dataValidation type="list" sqref="AB2:AB6">
      <x:formula1>"pending,approved,rejected,needs_research"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7b0dcbac604db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18" hidden="0" customWidth="1"/>
    <x:col min="4" max="4" width="72" hidden="0" customWidth="1"/>
  </x:cols>
  <x:sheetData>
    <x:row r="1">
      <x:c r="A1" s="4" t="str">
        <x:v>Parámetros de conversión</x:v>
      </x:c>
      <x:c r="B1" s="4"/>
      <x:c r="C1" s="4"/>
      <x:c r="D1" s="4"/>
    </x:row>
    <x:row r="3">
      <x:c r="A3" s="12" t="str">
        <x:v>Parámetro</x:v>
      </x:c>
      <x:c r="B3" s="12" t="str">
        <x:v>Valor</x:v>
      </x:c>
      <x:c r="C3" s="12" t="str">
        <x:v>Fecha</x:v>
      </x:c>
      <x:c r="D3" s="12" t="str">
        <x:v>Fuente</x:v>
      </x:c>
    </x:row>
    <x:row r="4">
      <x:c r="A4" s="20" t="str">
        <x:v>USD a UYU</x:v>
      </x:c>
      <x:c r="B4" s="24" t="n">
        <x:v>40.214</x:v>
      </x:c>
      <x:c r="C4" s="20" t="str">
        <x:v>2026-07-28</x:v>
      </x:c>
      <x:c r="D4" s="20" t="str">
        <x:v>https://www.bcu.gub.uy/Estadisticas-e-Indicadores/Paginas/Cotizaciones.aspx</x:v>
      </x:c>
    </x:row>
    <x:row r="5">
      <x:c r="A5" s="20" t="str">
        <x:v>EUR a UYU</x:v>
      </x:c>
      <x:c r="B5" s="24" t="n">
        <x:v>45.7917</x:v>
      </x:c>
      <x:c r="C5" s="20" t="str">
        <x:v>2026-07-28</x:v>
      </x:c>
      <x:c r="D5" s="20" t="str">
        <x:v>https://www.bcu.gub.uy/Estadisticas-e-Indicadores/Paginas/Cotizaciones.aspx</x:v>
      </x:c>
    </x:row>
    <x:row r="6">
      <x:c r="A6" s="20" t="str">
        <x:v>UI a UYU</x:v>
      </x:c>
      <x:c r="B6" s="24" t="n">
        <x:v>6.6268</x:v>
      </x:c>
      <x:c r="C6" s="20" t="str">
        <x:v>2026-07-28</x:v>
      </x:c>
      <x:c r="D6" s="20" t="str">
        <x:v>https://www.bcu.gub.uy/Estadisticas-e-Indicadores/Paginas/Cotizaciones.aspx</x:v>
      </x:c>
    </x:row>
    <x:row r="7">
      <x:c r="A7" s="20" t="str">
        <x:v>Moneda de visualización</x:v>
      </x:c>
      <x:c r="B7" s="20" t="str">
        <x:v>UYU</x:v>
      </x:c>
      <x:c r="C7" s="20" t="str">
        <x:v>2026-08-14</x:v>
      </x:c>
      <x:c r="D7" s="20" t="str">
        <x:v>Criterio del prototipo</x:v>
      </x:c>
    </x:row>
    <x:row r="8">
      <x:c r="A8" s="20" t="str">
        <x:v>Actualización histórica por IPC</x:v>
      </x:c>
      <x:c r="B8" s="20" t="str">
        <x:v>No aplicada</x:v>
      </x:c>
      <x:c r="C8" s="20" t="str">
        <x:v>2026-08-14</x:v>
      </x:c>
      <x:c r="D8" s="20" t="str">
        <x:v>Decisión metodológica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8" hidden="0" customWidth="1"/>
    <x:col min="3" max="3" width="44" hidden="0" customWidth="1"/>
    <x:col min="4" max="4" width="45" hidden="0" customWidth="1"/>
  </x:cols>
  <x:sheetData>
    <x:row r="1">
      <x:c r="A1" s="4" t="str">
        <x:v>Metodología y campos</x:v>
      </x:c>
      <x:c r="B1" s="4"/>
      <x:c r="C1" s="4"/>
      <x:c r="D1" s="4"/>
    </x:row>
    <x:row r="3">
      <x:c r="A3" s="12" t="str">
        <x:v>Tema</x:v>
      </x:c>
      <x:c r="B3" s="12" t="str">
        <x:v>Regla</x:v>
      </x:c>
      <x:c r="C3" s="12" t="str">
        <x:v>Campo principal</x:v>
      </x:c>
      <x:c r="D3" s="12" t="str">
        <x:v>Resultado</x:v>
      </x:c>
    </x:row>
    <x:row r="4" ht="55" customHeight="1">
      <x:c r="A4" s="20" t="str">
        <x:v>Promociones</x:v>
      </x:c>
      <x:c r="B4" s="20" t="str">
        <x:v>Excluidas por completo.</x:v>
      </x:c>
      <x:c r="C4" s="20" t="str">
        <x:v>No aplicable</x:v>
      </x:c>
      <x:c r="D4" s="20" t="str">
        <x:v>No alteran el conteo.</x:v>
      </x:c>
    </x:row>
    <x:row r="5" ht="55" customHeight="1">
      <x:c r="A5" s="20" t="str">
        <x:v>Precio actual fechado</x:v>
      </x:c>
      <x:c r="B5" s="20" t="str">
        <x:v>Se conserva el monto de la fuente.</x:v>
      </x:c>
      <x:c r="C5" s="20" t="str">
        <x:v>price_status=current_dated</x:v>
      </x:c>
      <x:c r="D5" s="20" t="str">
        <x:v>Puede mostrarse tras revisión.</x:v>
      </x:c>
    </x:row>
    <x:row r="6" ht="55" customHeight="1">
      <x:c r="A6" s="20" t="str">
        <x:v>Precio sin fecha</x:v>
      </x:c>
      <x:c r="B6" s="20" t="str">
        <x:v>Se conserva y se exige advertencia.</x:v>
      </x:c>
      <x:c r="C6" s="20" t="str">
        <x:v>price_status=current_undated</x:v>
      </x:c>
      <x:c r="D6" s="20" t="str">
        <x:v>Confirmar antes de usar.</x:v>
      </x:c>
    </x:row>
    <x:row r="7" ht="55" customHeight="1">
      <x:c r="A7" s="20" t="str">
        <x:v>Precio histórico</x:v>
      </x:c>
      <x:c r="B7" s="20" t="str">
        <x:v>Se conserva en términos nominales.</x:v>
      </x:c>
      <x:c r="C7" s="20" t="str">
        <x:v>price_status=historical</x:v>
      </x:c>
      <x:c r="D7" s="20" t="str">
        <x:v>Fuera del filtro principal.</x:v>
      </x:c>
    </x:row>
    <x:row r="8" ht="55" customHeight="1">
      <x:c r="A8" s="20" t="str">
        <x:v>UYU inferido</x:v>
      </x:c>
      <x:c r="B8" s="20" t="str">
        <x:v>Número visible sin símbolo; contexto uruguayo.</x:v>
      </x:c>
      <x:c r="C8" s="20" t="str">
        <x:v>original_currency=UYU_INFERRED</x:v>
      </x:c>
      <x:c r="D8" s="20" t="str">
        <x:v>Confianza menor.</x:v>
      </x:c>
    </x:row>
    <x:row r="9" ht="55" customHeight="1">
      <x:c r="A9" s="20" t="str">
        <x:v>USD</x:v>
      </x:c>
      <x:c r="B9" s="20" t="str">
        <x:v>Conversión BCU del 2026-07-28.</x:v>
      </x:c>
      <x:c r="C9" s="20" t="str">
        <x:v>normalization_method=usd_x_bcu</x:v>
      </x:c>
      <x:c r="D9" s="20" t="str">
        <x:v>Equivalente aproximado en UYU.</x:v>
      </x:c>
    </x:row>
    <x:row r="10" ht="55" customHeight="1">
      <x:c r="A10" s="20" t="str">
        <x:v>Conciliación</x:v>
      </x:c>
      <x:c r="B10" s="20" t="str">
        <x:v>Solo nombre/dirección/localidad suficientemente coincidentes.</x:v>
      </x:c>
      <x:c r="C10" s="20" t="str">
        <x:v>match_confidence</x:v>
      </x:c>
      <x:c r="D10" s="20" t="str">
        <x:v>Cinco precios quedan pendientes.</x:v>
      </x:c>
    </x:row>
    <x:row r="11" ht="55" customHeight="1">
      <x:c r="A11" s="20" t="str">
        <x:v>Revisión</x:v>
      </x:c>
      <x:c r="B11" s="20" t="str">
        <x:v>Toda fila comienza como pending.</x:v>
      </x:c>
      <x:c r="C11" s="20" t="str">
        <x:v>review_status</x:v>
      </x:c>
      <x:c r="D11" s="20" t="str">
        <x:v>Aprobar antes de integrar.</x:v>
      </x:c>
    </x:row>
  </x:sheetData>
  <x:mergeCells>
    <x:mergeCell ref="A1:D1"/>
  </x:mergeCells>
  <x:pageMargins left="0.7" right="0.7" top="0.75" bottom="0.75" header="0.3" footer="0.3"/>
</x:worksheet>
</file>